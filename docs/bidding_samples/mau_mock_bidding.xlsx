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aster Schedule" sheetId="4" state="visible" r:id="rId4"/>
  </sheets>
  <definedNames>
    <definedName name="_xlnm._FilterDatabase" localSheetId="0" hidden="1">'Q&amp;A'!$A$1:$H$4</definedName>
    <definedName name="_xlnm._FilterDatabase" localSheetId="1" hidden="1">'WBS'!$A$1:$J$65</definedName>
    <definedName name="_xlnm._FilterDatabase" localSheetId="2" hidden="1">'Summary'!$A$1:$J$5</definedName>
    <definedName name="_xlnm._FilterDatabase" localSheetId="3" hidden="1">'Master Schedule'!$A$1:$F$35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B5420E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DE3D0"/>
      </patternFill>
    </fill>
    <fill>
      <patternFill patternType="solid">
        <fgColor rgb="00F9A66C"/>
      </patternFill>
    </fill>
    <fill>
      <patternFill patternType="solid">
        <fgColor rgb="00FBD0B5"/>
      </patternFill>
    </fill>
    <fill>
      <patternFill patternType="solid">
        <fgColor rgb="00F26F21"/>
      </patternFill>
    </fill>
    <fill>
      <patternFill patternType="solid">
        <fgColor rgb="00EBC3B0"/>
      </patternFill>
    </fill>
    <fill>
      <patternFill patternType="solid">
        <fgColor rgb="00B5420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 indent="1"/>
    </xf>
    <xf numFmtId="0" fontId="2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 indent="1"/>
    </xf>
    <xf numFmtId="165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55" customWidth="1" min="3" max="3"/>
    <col width="45" customWidth="1" min="4" max="4"/>
    <col width="10" customWidth="1" min="5" max="5"/>
    <col width="10" customWidth="1" min="6" max="6"/>
    <col width="45" customWidth="1" min="7" max="7"/>
    <col width="8" customWidth="1" min="8" max="8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Why we ask</t>
        </is>
      </c>
      <c r="E1" s="1" t="inlineStr">
        <is>
          <t>Priority</t>
        </is>
      </c>
      <c r="F1" s="1" t="inlineStr">
        <is>
          <t>Blocking</t>
        </is>
      </c>
      <c r="G1" s="1" t="inlineStr">
        <is>
          <t>Customer answer</t>
        </is>
      </c>
      <c r="H1" s="1" t="inlineStr">
        <is>
          <t>Status</t>
        </is>
      </c>
    </row>
    <row r="2">
      <c r="A2" s="2" t="n">
        <v>1</v>
      </c>
      <c r="B2" s="2" t="inlineStr">
        <is>
          <t>data</t>
        </is>
      </c>
      <c r="C2" s="2" t="inlineStr">
        <is>
          <t>Các văn bản quy định được cập nhật bao lâu một lần và ai là người cập nhật?</t>
        </is>
      </c>
      <c r="D2" s="2" t="inlineStr">
        <is>
          <t>Quyết định cơ chế đồng bộ và đánh chỉ mục lại tài liệu.</t>
        </is>
      </c>
      <c r="E2" s="2" t="inlineStr">
        <is>
          <t>Mid</t>
        </is>
      </c>
      <c r="F2" s="2" t="inlineStr">
        <is>
          <t>No</t>
        </is>
      </c>
      <c r="G2" s="2" t="inlineStr"/>
      <c r="H2" s="2" t="inlineStr">
        <is>
          <t>Open</t>
        </is>
      </c>
    </row>
    <row r="3">
      <c r="A3" s="2" t="n">
        <v>2</v>
      </c>
      <c r="B3" s="2" t="inlineStr">
        <is>
          <t>accuracy</t>
        </is>
      </c>
      <c r="C3" s="2" t="inlineStr">
        <is>
          <t>Câu trả lời có bắt buộc kèm trích dẫn điều khoản và số trang không?</t>
        </is>
      </c>
      <c r="D3" s="2" t="inlineStr">
        <is>
          <t>Ảnh hưởng thiết kế phần hiển thị nguồn và cách chia đoạn tài liệu.</t>
        </is>
      </c>
      <c r="E3" s="2" t="inlineStr">
        <is>
          <t>Mid</t>
        </is>
      </c>
      <c r="F3" s="2" t="inlineStr">
        <is>
          <t>No</t>
        </is>
      </c>
      <c r="G3" s="2" t="inlineStr"/>
      <c r="H3" s="2" t="inlineStr">
        <is>
          <t>Open</t>
        </is>
      </c>
    </row>
    <row r="4">
      <c r="A4" s="2" t="n">
        <v>3</v>
      </c>
      <c r="B4" s="2" t="inlineStr">
        <is>
          <t>integration</t>
        </is>
      </c>
      <c r="C4" s="2" t="inlineStr">
        <is>
          <t>Công ty đang dùng hệ thống đăng nhập tập trung (SSO) nào?</t>
        </is>
      </c>
      <c r="D4" s="2" t="inlineStr">
        <is>
          <t>Xác định effort tích hợp phân quyền theo phòng ban.</t>
        </is>
      </c>
      <c r="E4" s="2" t="inlineStr">
        <is>
          <t>Mid</t>
        </is>
      </c>
      <c r="F4" s="2" t="inlineStr">
        <is>
          <t>No</t>
        </is>
      </c>
      <c r="G4" s="2" t="inlineStr"/>
      <c r="H4" s="2" t="inlineStr">
        <is>
          <t>Open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40" customWidth="1" min="4" max="4"/>
    <col width="7" customWidth="1" min="5" max="5"/>
    <col width="10" customWidth="1" min="6" max="6"/>
    <col width="15" customWidth="1" min="7" max="7"/>
    <col width="25" customWidth="1" min="8" max="8"/>
    <col width="36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Sub-task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Estimate (MD)</t>
        </is>
      </c>
      <c r="H1" s="1" t="inlineStr">
        <is>
          <t>Depends on</t>
        </is>
      </c>
      <c r="I1" s="1" t="inlineStr">
        <is>
          <t>Deliverable</t>
        </is>
      </c>
      <c r="J1" s="1" t="inlineStr">
        <is>
          <t>Note</t>
        </is>
      </c>
    </row>
    <row r="2">
      <c r="A2" s="2" t="inlineStr">
        <is>
          <t>1</t>
        </is>
      </c>
      <c r="B2" s="2" t="inlineStr">
        <is>
          <t>PoC</t>
        </is>
      </c>
      <c r="C2" s="3" t="inlineStr">
        <is>
          <t>Giai đoạn PoC</t>
        </is>
      </c>
      <c r="G2" s="3">
        <f>SUM(G3,G6,G9,G12,G15,G18)</f>
        <v/>
      </c>
    </row>
    <row r="3">
      <c r="A3" s="2" t="inlineStr">
        <is>
          <t>1.1</t>
        </is>
      </c>
      <c r="B3" s="2" t="inlineStr">
        <is>
          <t>PoC</t>
        </is>
      </c>
      <c r="C3" s="4" t="inlineStr">
        <is>
          <t>Kick-off và quản lý PoC</t>
        </is>
      </c>
      <c r="G3" s="5">
        <f>SUM(G4,G5)</f>
        <v/>
      </c>
    </row>
    <row r="4">
      <c r="A4" s="2" t="inlineStr">
        <is>
          <t>1.1.1</t>
        </is>
      </c>
      <c r="B4" s="2" t="inlineStr">
        <is>
          <t>PoC</t>
        </is>
      </c>
      <c r="D4" s="5" t="inlineStr">
        <is>
          <t>Kick-off và quản lý PoC – phần 1</t>
        </is>
      </c>
      <c r="E4" s="2" t="inlineStr">
        <is>
          <t>PM</t>
        </is>
      </c>
      <c r="F4" s="2" t="inlineStr">
        <is>
          <t>Mid</t>
        </is>
      </c>
      <c r="G4" s="2" t="n">
        <v>5</v>
      </c>
      <c r="I4" s="2" t="inlineStr">
        <is>
          <t>Kết quả: kick-off và quản lý poc</t>
        </is>
      </c>
    </row>
    <row r="5">
      <c r="A5" s="2" t="inlineStr">
        <is>
          <t>1.1.2</t>
        </is>
      </c>
      <c r="B5" s="2" t="inlineStr">
        <is>
          <t>PoC</t>
        </is>
      </c>
      <c r="D5" s="5" t="inlineStr">
        <is>
          <t>Kick-off và quản lý PoC – phần 2</t>
        </is>
      </c>
      <c r="E5" s="2" t="inlineStr">
        <is>
          <t>PM</t>
        </is>
      </c>
      <c r="F5" s="2" t="inlineStr">
        <is>
          <t>Mid</t>
        </is>
      </c>
      <c r="G5" s="2" t="n">
        <v>4</v>
      </c>
      <c r="I5" s="2" t="inlineStr">
        <is>
          <t>Kết quả: kick-off và quản lý poc</t>
        </is>
      </c>
    </row>
    <row r="6">
      <c r="A6" s="2" t="inlineStr">
        <is>
          <t>1.2</t>
        </is>
      </c>
      <c r="B6" s="2" t="inlineStr">
        <is>
          <t>PoC</t>
        </is>
      </c>
      <c r="C6" s="4" t="inlineStr">
        <is>
          <t>Khảo sát dữ liệu &amp; yêu cầu</t>
        </is>
      </c>
      <c r="G6" s="5">
        <f>SUM(G7,G8)</f>
        <v/>
      </c>
    </row>
    <row r="7">
      <c r="A7" s="2" t="inlineStr">
        <is>
          <t>1.2.1</t>
        </is>
      </c>
      <c r="B7" s="2" t="inlineStr">
        <is>
          <t>PoC</t>
        </is>
      </c>
      <c r="D7" s="5" t="inlineStr">
        <is>
          <t>Khảo sát dữ liệu &amp; yêu cầu – phần 1</t>
        </is>
      </c>
      <c r="E7" s="2" t="inlineStr">
        <is>
          <t>BA</t>
        </is>
      </c>
      <c r="F7" s="2" t="inlineStr">
        <is>
          <t>Mid</t>
        </is>
      </c>
      <c r="G7" s="2" t="n">
        <v>5</v>
      </c>
      <c r="I7" s="2" t="inlineStr">
        <is>
          <t>Kết quả: khảo sát dữ liệu &amp; yêu cầu</t>
        </is>
      </c>
    </row>
    <row r="8">
      <c r="A8" s="2" t="inlineStr">
        <is>
          <t>1.2.2</t>
        </is>
      </c>
      <c r="B8" s="2" t="inlineStr">
        <is>
          <t>PoC</t>
        </is>
      </c>
      <c r="D8" s="5" t="inlineStr">
        <is>
          <t>Khảo sát dữ liệu &amp; yêu cầu – phần 2</t>
        </is>
      </c>
      <c r="E8" s="2" t="inlineStr">
        <is>
          <t>BA</t>
        </is>
      </c>
      <c r="F8" s="2" t="inlineStr">
        <is>
          <t>Mid</t>
        </is>
      </c>
      <c r="G8" s="2" t="n">
        <v>4</v>
      </c>
      <c r="I8" s="2" t="inlineStr">
        <is>
          <t>Kết quả: khảo sát dữ liệu &amp; yêu cầu</t>
        </is>
      </c>
    </row>
    <row r="9">
      <c r="A9" s="2" t="inlineStr">
        <is>
          <t>1.3</t>
        </is>
      </c>
      <c r="B9" s="2" t="inlineStr">
        <is>
          <t>PoC</t>
        </is>
      </c>
      <c r="C9" s="4" t="inlineStr">
        <is>
          <t>Chuẩn bị dữ liệu mẫu</t>
        </is>
      </c>
      <c r="G9" s="5">
        <f>SUM(G10,G11)</f>
        <v/>
      </c>
      <c r="H9" s="2" t="inlineStr">
        <is>
          <t>1.2</t>
        </is>
      </c>
    </row>
    <row r="10">
      <c r="A10" s="2" t="inlineStr">
        <is>
          <t>1.3.1</t>
        </is>
      </c>
      <c r="B10" s="2" t="inlineStr">
        <is>
          <t>PoC</t>
        </is>
      </c>
      <c r="D10" s="5" t="inlineStr">
        <is>
          <t>Chuẩn bị dữ liệu mẫu – phần 1</t>
        </is>
      </c>
      <c r="E10" s="2" t="inlineStr">
        <is>
          <t>DATA</t>
        </is>
      </c>
      <c r="F10" s="2" t="inlineStr">
        <is>
          <t>Mid</t>
        </is>
      </c>
      <c r="G10" s="2" t="n">
        <v>4</v>
      </c>
      <c r="I10" s="2" t="inlineStr">
        <is>
          <t>Kết quả: chuẩn bị dữ liệu mẫu</t>
        </is>
      </c>
      <c r="J10" s="2" t="inlineStr">
        <is>
          <t>data_prep</t>
        </is>
      </c>
    </row>
    <row r="11">
      <c r="A11" s="2" t="inlineStr">
        <is>
          <t>1.3.2</t>
        </is>
      </c>
      <c r="B11" s="2" t="inlineStr">
        <is>
          <t>PoC</t>
        </is>
      </c>
      <c r="D11" s="5" t="inlineStr">
        <is>
          <t>Chuẩn bị dữ liệu mẫu – phần 2</t>
        </is>
      </c>
      <c r="E11" s="2" t="inlineStr">
        <is>
          <t>DATA</t>
        </is>
      </c>
      <c r="F11" s="2" t="inlineStr">
        <is>
          <t>Mid</t>
        </is>
      </c>
      <c r="G11" s="2" t="n">
        <v>4</v>
      </c>
      <c r="I11" s="2" t="inlineStr">
        <is>
          <t>Kết quả: chuẩn bị dữ liệu mẫu</t>
        </is>
      </c>
      <c r="J11" s="2" t="inlineStr">
        <is>
          <t>data_prep</t>
        </is>
      </c>
    </row>
    <row r="12">
      <c r="A12" s="2" t="inlineStr">
        <is>
          <t>1.4</t>
        </is>
      </c>
      <c r="B12" s="2" t="inlineStr">
        <is>
          <t>PoC</t>
        </is>
      </c>
      <c r="C12" s="4" t="inlineStr">
        <is>
          <t>Dựng prototype Chat API</t>
        </is>
      </c>
      <c r="G12" s="5">
        <f>SUM(G13,G14)</f>
        <v/>
      </c>
      <c r="H12" s="2" t="inlineStr">
        <is>
          <t>1.2</t>
        </is>
      </c>
    </row>
    <row r="13">
      <c r="A13" s="2" t="inlineStr">
        <is>
          <t>1.4.1</t>
        </is>
      </c>
      <c r="B13" s="2" t="inlineStr">
        <is>
          <t>PoC</t>
        </is>
      </c>
      <c r="D13" s="5" t="inlineStr">
        <is>
          <t>Dựng prototype Chat API – phần 1</t>
        </is>
      </c>
      <c r="E13" s="2" t="inlineStr">
        <is>
          <t>AI</t>
        </is>
      </c>
      <c r="F13" s="2" t="inlineStr">
        <is>
          <t>High</t>
        </is>
      </c>
      <c r="G13" s="2" t="n">
        <v>4</v>
      </c>
      <c r="I13" s="2" t="inlineStr">
        <is>
          <t>Kết quả: dựng prototype chat api</t>
        </is>
      </c>
    </row>
    <row r="14">
      <c r="A14" s="2" t="inlineStr">
        <is>
          <t>1.4.2</t>
        </is>
      </c>
      <c r="B14" s="2" t="inlineStr">
        <is>
          <t>PoC</t>
        </is>
      </c>
      <c r="D14" s="5" t="inlineStr">
        <is>
          <t>Dựng prototype Chat API – phần 2</t>
        </is>
      </c>
      <c r="E14" s="2" t="inlineStr">
        <is>
          <t>AI</t>
        </is>
      </c>
      <c r="F14" s="2" t="inlineStr">
        <is>
          <t>High</t>
        </is>
      </c>
      <c r="G14" s="2" t="n">
        <v>4</v>
      </c>
      <c r="I14" s="2" t="inlineStr">
        <is>
          <t>Kết quả: dựng prototype chat api</t>
        </is>
      </c>
    </row>
    <row r="15">
      <c r="A15" s="2" t="inlineStr">
        <is>
          <t>1.5</t>
        </is>
      </c>
      <c r="B15" s="2" t="inlineStr">
        <is>
          <t>PoC</t>
        </is>
      </c>
      <c r="C15" s="4" t="inlineStr">
        <is>
          <t>Đánh giá kết quả PoC</t>
        </is>
      </c>
      <c r="G15" s="5">
        <f>SUM(G16,G17)</f>
        <v/>
      </c>
      <c r="H15" s="2" t="inlineStr">
        <is>
          <t>1.2</t>
        </is>
      </c>
    </row>
    <row r="16">
      <c r="A16" s="2" t="inlineStr">
        <is>
          <t>1.5.1</t>
        </is>
      </c>
      <c r="B16" s="2" t="inlineStr">
        <is>
          <t>PoC</t>
        </is>
      </c>
      <c r="D16" s="5" t="inlineStr">
        <is>
          <t>Đánh giá kết quả PoC – phần 1</t>
        </is>
      </c>
      <c r="E16" s="2" t="inlineStr">
        <is>
          <t>AI</t>
        </is>
      </c>
      <c r="F16" s="2" t="inlineStr">
        <is>
          <t>High</t>
        </is>
      </c>
      <c r="G16" s="2" t="n">
        <v>4</v>
      </c>
      <c r="I16" s="2" t="inlineStr">
        <is>
          <t>Kết quả: đánh giá kết quả poc</t>
        </is>
      </c>
      <c r="J16" s="2" t="inlineStr">
        <is>
          <t>evaluation</t>
        </is>
      </c>
    </row>
    <row r="17">
      <c r="A17" s="2" t="inlineStr">
        <is>
          <t>1.5.2</t>
        </is>
      </c>
      <c r="B17" s="2" t="inlineStr">
        <is>
          <t>PoC</t>
        </is>
      </c>
      <c r="D17" s="5" t="inlineStr">
        <is>
          <t>Đánh giá kết quả PoC – phần 2</t>
        </is>
      </c>
      <c r="E17" s="2" t="inlineStr">
        <is>
          <t>AI</t>
        </is>
      </c>
      <c r="F17" s="2" t="inlineStr">
        <is>
          <t>High</t>
        </is>
      </c>
      <c r="G17" s="2" t="n">
        <v>4</v>
      </c>
      <c r="I17" s="2" t="inlineStr">
        <is>
          <t>Kết quả: đánh giá kết quả poc</t>
        </is>
      </c>
      <c r="J17" s="2" t="inlineStr">
        <is>
          <t>evaluation</t>
        </is>
      </c>
    </row>
    <row r="18">
      <c r="A18" s="2" t="inlineStr">
        <is>
          <t>1.6</t>
        </is>
      </c>
      <c r="B18" s="2" t="inlineStr">
        <is>
          <t>PoC</t>
        </is>
      </c>
      <c r="C18" s="4" t="inlineStr">
        <is>
          <t>Test và nghiệm thu PoC</t>
        </is>
      </c>
      <c r="G18" s="5">
        <f>SUM(G19,G20)</f>
        <v/>
      </c>
      <c r="H18" s="2" t="inlineStr">
        <is>
          <t>1.3, 1.4, 1.5</t>
        </is>
      </c>
    </row>
    <row r="19">
      <c r="A19" s="2" t="inlineStr">
        <is>
          <t>1.6.1</t>
        </is>
      </c>
      <c r="B19" s="2" t="inlineStr">
        <is>
          <t>PoC</t>
        </is>
      </c>
      <c r="D19" s="5" t="inlineStr">
        <is>
          <t>Test và nghiệm thu PoC – phần 1</t>
        </is>
      </c>
      <c r="E19" s="2" t="inlineStr">
        <is>
          <t>QA</t>
        </is>
      </c>
      <c r="F19" s="2" t="inlineStr">
        <is>
          <t>High</t>
        </is>
      </c>
      <c r="G19" s="2" t="n">
        <v>4</v>
      </c>
      <c r="I19" s="2" t="inlineStr">
        <is>
          <t>Kết quả: test và nghiệm thu poc</t>
        </is>
      </c>
    </row>
    <row r="20">
      <c r="A20" s="2" t="inlineStr">
        <is>
          <t>1.6.2</t>
        </is>
      </c>
      <c r="B20" s="2" t="inlineStr">
        <is>
          <t>PoC</t>
        </is>
      </c>
      <c r="D20" s="5" t="inlineStr">
        <is>
          <t>Test và nghiệm thu PoC – phần 2</t>
        </is>
      </c>
      <c r="E20" s="2" t="inlineStr">
        <is>
          <t>QA</t>
        </is>
      </c>
      <c r="F20" s="2" t="inlineStr">
        <is>
          <t>High</t>
        </is>
      </c>
      <c r="G20" s="2" t="n">
        <v>4</v>
      </c>
      <c r="I20" s="2" t="inlineStr">
        <is>
          <t>Kết quả: test và nghiệm thu poc</t>
        </is>
      </c>
    </row>
    <row r="21">
      <c r="A21" s="6" t="n"/>
      <c r="B21" s="7" t="inlineStr">
        <is>
          <t>PoC</t>
        </is>
      </c>
      <c r="C21" s="8" t="inlineStr">
        <is>
          <t>Total PoC</t>
        </is>
      </c>
      <c r="D21" s="6" t="n"/>
      <c r="E21" s="6" t="n"/>
      <c r="F21" s="6" t="n"/>
      <c r="G21" s="8">
        <f>SUM(G2)</f>
        <v/>
      </c>
      <c r="H21" s="6" t="n"/>
      <c r="I21" s="6" t="n"/>
      <c r="J21" s="6" t="n"/>
    </row>
    <row r="22">
      <c r="A22" s="2" t="inlineStr">
        <is>
          <t>2</t>
        </is>
      </c>
      <c r="B22" s="2" t="inlineStr">
        <is>
          <t>MVP</t>
        </is>
      </c>
      <c r="C22" s="3" t="inlineStr">
        <is>
          <t>Giai đoạn MVP</t>
        </is>
      </c>
      <c r="G22" s="3">
        <f>SUM(G23,G26,G29,G32,G35,G38,G41,G44,G47)</f>
        <v/>
      </c>
    </row>
    <row r="23">
      <c r="A23" s="2" t="inlineStr">
        <is>
          <t>2.1</t>
        </is>
      </c>
      <c r="B23" s="2" t="inlineStr">
        <is>
          <t>MVP</t>
        </is>
      </c>
      <c r="C23" s="4" t="inlineStr">
        <is>
          <t>Quản lý dự án MVP</t>
        </is>
      </c>
      <c r="G23" s="5">
        <f>SUM(G24,G25)</f>
        <v/>
      </c>
      <c r="H23" s="2" t="inlineStr">
        <is>
          <t>1.6</t>
        </is>
      </c>
    </row>
    <row r="24">
      <c r="A24" s="2" t="inlineStr">
        <is>
          <t>2.1.1</t>
        </is>
      </c>
      <c r="B24" s="2" t="inlineStr">
        <is>
          <t>MVP</t>
        </is>
      </c>
      <c r="D24" s="5" t="inlineStr">
        <is>
          <t>Quản lý dự án MVP – phần 1</t>
        </is>
      </c>
      <c r="E24" s="2" t="inlineStr">
        <is>
          <t>PM</t>
        </is>
      </c>
      <c r="F24" s="2" t="inlineStr">
        <is>
          <t>Mid</t>
        </is>
      </c>
      <c r="G24" s="2" t="n">
        <v>9</v>
      </c>
      <c r="I24" s="2" t="inlineStr">
        <is>
          <t>Kết quả: quản lý dự án mvp</t>
        </is>
      </c>
    </row>
    <row r="25">
      <c r="A25" s="2" t="inlineStr">
        <is>
          <t>2.1.2</t>
        </is>
      </c>
      <c r="B25" s="2" t="inlineStr">
        <is>
          <t>MVP</t>
        </is>
      </c>
      <c r="D25" s="5" t="inlineStr">
        <is>
          <t>Quản lý dự án MVP – phần 2</t>
        </is>
      </c>
      <c r="E25" s="2" t="inlineStr">
        <is>
          <t>PM</t>
        </is>
      </c>
      <c r="F25" s="2" t="inlineStr">
        <is>
          <t>Mid</t>
        </is>
      </c>
      <c r="G25" s="2" t="n">
        <v>8</v>
      </c>
      <c r="I25" s="2" t="inlineStr">
        <is>
          <t>Kết quả: quản lý dự án mvp</t>
        </is>
      </c>
    </row>
    <row r="26">
      <c r="A26" s="2" t="inlineStr">
        <is>
          <t>2.2</t>
        </is>
      </c>
      <c r="B26" s="2" t="inlineStr">
        <is>
          <t>MVP</t>
        </is>
      </c>
      <c r="C26" s="4" t="inlineStr">
        <is>
          <t>Phân tích &amp; thiết kế chi tiết</t>
        </is>
      </c>
      <c r="G26" s="5">
        <f>SUM(G27,G28)</f>
        <v/>
      </c>
    </row>
    <row r="27">
      <c r="A27" s="2" t="inlineStr">
        <is>
          <t>2.2.1</t>
        </is>
      </c>
      <c r="B27" s="2" t="inlineStr">
        <is>
          <t>MVP</t>
        </is>
      </c>
      <c r="D27" s="5" t="inlineStr">
        <is>
          <t>Phân tích &amp; thiết kế chi tiết – phần 1</t>
        </is>
      </c>
      <c r="E27" s="2" t="inlineStr">
        <is>
          <t>BA</t>
        </is>
      </c>
      <c r="F27" s="2" t="inlineStr">
        <is>
          <t>Mid</t>
        </is>
      </c>
      <c r="G27" s="2" t="n">
        <v>9</v>
      </c>
      <c r="I27" s="2" t="inlineStr">
        <is>
          <t>Kết quả: phân tích &amp; thiết kế chi tiết</t>
        </is>
      </c>
    </row>
    <row r="28">
      <c r="A28" s="2" t="inlineStr">
        <is>
          <t>2.2.2</t>
        </is>
      </c>
      <c r="B28" s="2" t="inlineStr">
        <is>
          <t>MVP</t>
        </is>
      </c>
      <c r="D28" s="5" t="inlineStr">
        <is>
          <t>Phân tích &amp; thiết kế chi tiết – phần 2</t>
        </is>
      </c>
      <c r="E28" s="2" t="inlineStr">
        <is>
          <t>BA</t>
        </is>
      </c>
      <c r="F28" s="2" t="inlineStr">
        <is>
          <t>Mid</t>
        </is>
      </c>
      <c r="G28" s="2" t="n">
        <v>8</v>
      </c>
      <c r="I28" s="2" t="inlineStr">
        <is>
          <t>Kết quả: phân tích &amp; thiết kế chi tiết</t>
        </is>
      </c>
    </row>
    <row r="29">
      <c r="A29" s="2" t="inlineStr">
        <is>
          <t>2.3</t>
        </is>
      </c>
      <c r="B29" s="2" t="inlineStr">
        <is>
          <t>MVP</t>
        </is>
      </c>
      <c r="C29" s="4" t="inlineStr">
        <is>
          <t>Chuẩn bị &amp; làm sạch dữ liệu</t>
        </is>
      </c>
      <c r="G29" s="5">
        <f>SUM(G30,G31)</f>
        <v/>
      </c>
      <c r="H29" s="2" t="inlineStr">
        <is>
          <t>2.2</t>
        </is>
      </c>
    </row>
    <row r="30">
      <c r="A30" s="2" t="inlineStr">
        <is>
          <t>2.3.1</t>
        </is>
      </c>
      <c r="B30" s="2" t="inlineStr">
        <is>
          <t>MVP</t>
        </is>
      </c>
      <c r="D30" s="5" t="inlineStr">
        <is>
          <t>Chuẩn bị &amp; làm sạch dữ liệu – phần 1</t>
        </is>
      </c>
      <c r="E30" s="2" t="inlineStr">
        <is>
          <t>DATA</t>
        </is>
      </c>
      <c r="F30" s="2" t="inlineStr">
        <is>
          <t>Mid</t>
        </is>
      </c>
      <c r="G30" s="2" t="n">
        <v>9</v>
      </c>
      <c r="I30" s="2" t="inlineStr">
        <is>
          <t>Kết quả: chuẩn bị &amp; làm sạch dữ liệu</t>
        </is>
      </c>
      <c r="J30" s="2" t="inlineStr">
        <is>
          <t>data_prep</t>
        </is>
      </c>
    </row>
    <row r="31">
      <c r="A31" s="2" t="inlineStr">
        <is>
          <t>2.3.2</t>
        </is>
      </c>
      <c r="B31" s="2" t="inlineStr">
        <is>
          <t>MVP</t>
        </is>
      </c>
      <c r="D31" s="5" t="inlineStr">
        <is>
          <t>Chuẩn bị &amp; làm sạch dữ liệu – phần 2</t>
        </is>
      </c>
      <c r="E31" s="2" t="inlineStr">
        <is>
          <t>DATA</t>
        </is>
      </c>
      <c r="F31" s="2" t="inlineStr">
        <is>
          <t>Mid</t>
        </is>
      </c>
      <c r="G31" s="2" t="n">
        <v>8</v>
      </c>
      <c r="I31" s="2" t="inlineStr">
        <is>
          <t>Kết quả: chuẩn bị &amp; làm sạch dữ liệu</t>
        </is>
      </c>
      <c r="J31" s="2" t="inlineStr">
        <is>
          <t>data_prep</t>
        </is>
      </c>
    </row>
    <row r="32">
      <c r="A32" s="2" t="inlineStr">
        <is>
          <t>2.4</t>
        </is>
      </c>
      <c r="B32" s="2" t="inlineStr">
        <is>
          <t>MVP</t>
        </is>
      </c>
      <c r="C32" s="4" t="inlineStr">
        <is>
          <t>Xây dựng Chat API</t>
        </is>
      </c>
      <c r="G32" s="5">
        <f>SUM(G33,G34)</f>
        <v/>
      </c>
      <c r="H32" s="2" t="inlineStr">
        <is>
          <t>2.2</t>
        </is>
      </c>
    </row>
    <row r="33">
      <c r="A33" s="2" t="inlineStr">
        <is>
          <t>2.4.1</t>
        </is>
      </c>
      <c r="B33" s="2" t="inlineStr">
        <is>
          <t>MVP</t>
        </is>
      </c>
      <c r="D33" s="5" t="inlineStr">
        <is>
          <t>Xây dựng Chat API – phần 1</t>
        </is>
      </c>
      <c r="E33" s="2" t="inlineStr">
        <is>
          <t>AI</t>
        </is>
      </c>
      <c r="F33" s="2" t="inlineStr">
        <is>
          <t>High</t>
        </is>
      </c>
      <c r="G33" s="2" t="n">
        <v>9</v>
      </c>
      <c r="I33" s="2" t="inlineStr">
        <is>
          <t>Kết quả: xây dựng chat api</t>
        </is>
      </c>
    </row>
    <row r="34">
      <c r="A34" s="2" t="inlineStr">
        <is>
          <t>2.4.2</t>
        </is>
      </c>
      <c r="B34" s="2" t="inlineStr">
        <is>
          <t>MVP</t>
        </is>
      </c>
      <c r="D34" s="5" t="inlineStr">
        <is>
          <t>Xây dựng Chat API – phần 2</t>
        </is>
      </c>
      <c r="E34" s="2" t="inlineStr">
        <is>
          <t>AI</t>
        </is>
      </c>
      <c r="F34" s="2" t="inlineStr">
        <is>
          <t>High</t>
        </is>
      </c>
      <c r="G34" s="2" t="n">
        <v>8</v>
      </c>
      <c r="I34" s="2" t="inlineStr">
        <is>
          <t>Kết quả: xây dựng chat api</t>
        </is>
      </c>
    </row>
    <row r="35">
      <c r="A35" s="2" t="inlineStr">
        <is>
          <t>2.5</t>
        </is>
      </c>
      <c r="B35" s="2" t="inlineStr">
        <is>
          <t>MVP</t>
        </is>
      </c>
      <c r="C35" s="4" t="inlineStr">
        <is>
          <t>Xây dựng Web chat</t>
        </is>
      </c>
      <c r="G35" s="5">
        <f>SUM(G36,G37)</f>
        <v/>
      </c>
      <c r="H35" s="2" t="inlineStr">
        <is>
          <t>2.2</t>
        </is>
      </c>
    </row>
    <row r="36">
      <c r="A36" s="2" t="inlineStr">
        <is>
          <t>2.5.1</t>
        </is>
      </c>
      <c r="B36" s="2" t="inlineStr">
        <is>
          <t>MVP</t>
        </is>
      </c>
      <c r="D36" s="5" t="inlineStr">
        <is>
          <t>Xây dựng Web chat – phần 1</t>
        </is>
      </c>
      <c r="E36" s="2" t="inlineStr">
        <is>
          <t>BE</t>
        </is>
      </c>
      <c r="F36" s="2" t="inlineStr">
        <is>
          <t>Mid</t>
        </is>
      </c>
      <c r="G36" s="2" t="n">
        <v>9</v>
      </c>
      <c r="I36" s="2" t="inlineStr">
        <is>
          <t>Kết quả: xây dựng web chat</t>
        </is>
      </c>
      <c r="J36" s="2" t="inlineStr">
        <is>
          <t>integration</t>
        </is>
      </c>
    </row>
    <row r="37">
      <c r="A37" s="2" t="inlineStr">
        <is>
          <t>2.5.2</t>
        </is>
      </c>
      <c r="B37" s="2" t="inlineStr">
        <is>
          <t>MVP</t>
        </is>
      </c>
      <c r="D37" s="5" t="inlineStr">
        <is>
          <t>Xây dựng Web chat – phần 2</t>
        </is>
      </c>
      <c r="E37" s="2" t="inlineStr">
        <is>
          <t>BE</t>
        </is>
      </c>
      <c r="F37" s="2" t="inlineStr">
        <is>
          <t>Mid</t>
        </is>
      </c>
      <c r="G37" s="2" t="n">
        <v>8</v>
      </c>
      <c r="I37" s="2" t="inlineStr">
        <is>
          <t>Kết quả: xây dựng web chat</t>
        </is>
      </c>
      <c r="J37" s="2" t="inlineStr">
        <is>
          <t>integration</t>
        </is>
      </c>
    </row>
    <row r="38">
      <c r="A38" s="2" t="inlineStr">
        <is>
          <t>2.6</t>
        </is>
      </c>
      <c r="B38" s="2" t="inlineStr">
        <is>
          <t>MVP</t>
        </is>
      </c>
      <c r="C38" s="4" t="inlineStr">
        <is>
          <t>Giao diện người dùng</t>
        </is>
      </c>
      <c r="G38" s="5">
        <f>SUM(G39,G40)</f>
        <v/>
      </c>
      <c r="H38" s="2" t="inlineStr">
        <is>
          <t>2.2</t>
        </is>
      </c>
    </row>
    <row r="39">
      <c r="A39" s="2" t="inlineStr">
        <is>
          <t>2.6.1</t>
        </is>
      </c>
      <c r="B39" s="2" t="inlineStr">
        <is>
          <t>MVP</t>
        </is>
      </c>
      <c r="D39" s="5" t="inlineStr">
        <is>
          <t>Giao diện người dùng – phần 1</t>
        </is>
      </c>
      <c r="E39" s="2" t="inlineStr">
        <is>
          <t>FE</t>
        </is>
      </c>
      <c r="F39" s="2" t="inlineStr">
        <is>
          <t>Mid</t>
        </is>
      </c>
      <c r="G39" s="2" t="n">
        <v>9</v>
      </c>
      <c r="I39" s="2" t="inlineStr">
        <is>
          <t>Kết quả: giao diện người dùng</t>
        </is>
      </c>
    </row>
    <row r="40">
      <c r="A40" s="2" t="inlineStr">
        <is>
          <t>2.6.2</t>
        </is>
      </c>
      <c r="B40" s="2" t="inlineStr">
        <is>
          <t>MVP</t>
        </is>
      </c>
      <c r="D40" s="5" t="inlineStr">
        <is>
          <t>Giao diện người dùng – phần 2</t>
        </is>
      </c>
      <c r="E40" s="2" t="inlineStr">
        <is>
          <t>FE</t>
        </is>
      </c>
      <c r="F40" s="2" t="inlineStr">
        <is>
          <t>Mid</t>
        </is>
      </c>
      <c r="G40" s="2" t="n">
        <v>8</v>
      </c>
      <c r="I40" s="2" t="inlineStr">
        <is>
          <t>Kết quả: giao diện người dùng</t>
        </is>
      </c>
    </row>
    <row r="41">
      <c r="A41" s="2" t="inlineStr">
        <is>
          <t>2.7</t>
        </is>
      </c>
      <c r="B41" s="2" t="inlineStr">
        <is>
          <t>MVP</t>
        </is>
      </c>
      <c r="C41" s="4" t="inlineStr">
        <is>
          <t>Bộ đánh giá chất lượng</t>
        </is>
      </c>
      <c r="G41" s="5">
        <f>SUM(G42,G43)</f>
        <v/>
      </c>
      <c r="H41" s="2" t="inlineStr">
        <is>
          <t>2.2</t>
        </is>
      </c>
    </row>
    <row r="42">
      <c r="A42" s="2" t="inlineStr">
        <is>
          <t>2.7.1</t>
        </is>
      </c>
      <c r="B42" s="2" t="inlineStr">
        <is>
          <t>MVP</t>
        </is>
      </c>
      <c r="D42" s="5" t="inlineStr">
        <is>
          <t>Bộ đánh giá chất lượng – phần 1</t>
        </is>
      </c>
      <c r="E42" s="2" t="inlineStr">
        <is>
          <t>AI</t>
        </is>
      </c>
      <c r="F42" s="2" t="inlineStr">
        <is>
          <t>High</t>
        </is>
      </c>
      <c r="G42" s="2" t="n">
        <v>8</v>
      </c>
      <c r="I42" s="2" t="inlineStr">
        <is>
          <t>Kết quả: bộ đánh giá chất lượng</t>
        </is>
      </c>
      <c r="J42" s="2" t="inlineStr">
        <is>
          <t>evaluation</t>
        </is>
      </c>
    </row>
    <row r="43">
      <c r="A43" s="2" t="inlineStr">
        <is>
          <t>2.7.2</t>
        </is>
      </c>
      <c r="B43" s="2" t="inlineStr">
        <is>
          <t>MVP</t>
        </is>
      </c>
      <c r="D43" s="5" t="inlineStr">
        <is>
          <t>Bộ đánh giá chất lượng – phần 2</t>
        </is>
      </c>
      <c r="E43" s="2" t="inlineStr">
        <is>
          <t>AI</t>
        </is>
      </c>
      <c r="F43" s="2" t="inlineStr">
        <is>
          <t>High</t>
        </is>
      </c>
      <c r="G43" s="2" t="n">
        <v>8</v>
      </c>
      <c r="I43" s="2" t="inlineStr">
        <is>
          <t>Kết quả: bộ đánh giá chất lượng</t>
        </is>
      </c>
      <c r="J43" s="2" t="inlineStr">
        <is>
          <t>evaluation</t>
        </is>
      </c>
    </row>
    <row r="44">
      <c r="A44" s="2" t="inlineStr">
        <is>
          <t>2.8</t>
        </is>
      </c>
      <c r="B44" s="2" t="inlineStr">
        <is>
          <t>MVP</t>
        </is>
      </c>
      <c r="C44" s="4" t="inlineStr">
        <is>
          <t>Test và nghiệm thu MVP</t>
        </is>
      </c>
      <c r="G44" s="5">
        <f>SUM(G45,G46)</f>
        <v/>
      </c>
      <c r="H44" s="2" t="inlineStr">
        <is>
          <t>2.3, 2.4, 2.5, 2.6, 2.7</t>
        </is>
      </c>
    </row>
    <row r="45">
      <c r="A45" s="2" t="inlineStr">
        <is>
          <t>2.8.1</t>
        </is>
      </c>
      <c r="B45" s="2" t="inlineStr">
        <is>
          <t>MVP</t>
        </is>
      </c>
      <c r="D45" s="5" t="inlineStr">
        <is>
          <t>Test và nghiệm thu MVP – phần 1</t>
        </is>
      </c>
      <c r="E45" s="2" t="inlineStr">
        <is>
          <t>QA</t>
        </is>
      </c>
      <c r="F45" s="2" t="inlineStr">
        <is>
          <t>High</t>
        </is>
      </c>
      <c r="G45" s="2" t="n">
        <v>8</v>
      </c>
      <c r="I45" s="2" t="inlineStr">
        <is>
          <t>Kết quả: test và nghiệm thu mvp</t>
        </is>
      </c>
    </row>
    <row r="46">
      <c r="A46" s="2" t="inlineStr">
        <is>
          <t>2.8.2</t>
        </is>
      </c>
      <c r="B46" s="2" t="inlineStr">
        <is>
          <t>MVP</t>
        </is>
      </c>
      <c r="D46" s="5" t="inlineStr">
        <is>
          <t>Test và nghiệm thu MVP – phần 2</t>
        </is>
      </c>
      <c r="E46" s="2" t="inlineStr">
        <is>
          <t>QA</t>
        </is>
      </c>
      <c r="F46" s="2" t="inlineStr">
        <is>
          <t>High</t>
        </is>
      </c>
      <c r="G46" s="2" t="n">
        <v>8</v>
      </c>
      <c r="I46" s="2" t="inlineStr">
        <is>
          <t>Kết quả: test và nghiệm thu mvp</t>
        </is>
      </c>
    </row>
    <row r="47">
      <c r="A47" s="2" t="inlineStr">
        <is>
          <t>2.9</t>
        </is>
      </c>
      <c r="B47" s="2" t="inlineStr">
        <is>
          <t>MVP</t>
        </is>
      </c>
      <c r="C47" s="4" t="inlineStr">
        <is>
          <t>Tài liệu và bàn giao</t>
        </is>
      </c>
      <c r="G47" s="5">
        <f>SUM(G48,G49)</f>
        <v/>
      </c>
    </row>
    <row r="48">
      <c r="A48" s="2" t="inlineStr">
        <is>
          <t>2.9.1</t>
        </is>
      </c>
      <c r="B48" s="2" t="inlineStr">
        <is>
          <t>MVP</t>
        </is>
      </c>
      <c r="D48" s="5" t="inlineStr">
        <is>
          <t>Tài liệu và bàn giao – phần 1</t>
        </is>
      </c>
      <c r="E48" s="2" t="inlineStr">
        <is>
          <t>BA</t>
        </is>
      </c>
      <c r="F48" s="2" t="inlineStr">
        <is>
          <t>Mid</t>
        </is>
      </c>
      <c r="G48" s="2" t="n">
        <v>8</v>
      </c>
      <c r="I48" s="2" t="inlineStr">
        <is>
          <t>Kết quả: tài liệu và bàn giao</t>
        </is>
      </c>
      <c r="J48" s="2" t="inlineStr">
        <is>
          <t>documentation</t>
        </is>
      </c>
    </row>
    <row r="49">
      <c r="A49" s="2" t="inlineStr">
        <is>
          <t>2.9.2</t>
        </is>
      </c>
      <c r="B49" s="2" t="inlineStr">
        <is>
          <t>MVP</t>
        </is>
      </c>
      <c r="D49" s="5" t="inlineStr">
        <is>
          <t>Tài liệu và bàn giao – phần 2</t>
        </is>
      </c>
      <c r="E49" s="2" t="inlineStr">
        <is>
          <t>BA</t>
        </is>
      </c>
      <c r="F49" s="2" t="inlineStr">
        <is>
          <t>Mid</t>
        </is>
      </c>
      <c r="G49" s="2" t="n">
        <v>8</v>
      </c>
      <c r="I49" s="2" t="inlineStr">
        <is>
          <t>Kết quả: tài liệu và bàn giao</t>
        </is>
      </c>
      <c r="J49" s="2" t="inlineStr">
        <is>
          <t>documentation</t>
        </is>
      </c>
    </row>
    <row r="50">
      <c r="A50" s="6" t="n"/>
      <c r="B50" s="7" t="inlineStr">
        <is>
          <t>MVP</t>
        </is>
      </c>
      <c r="C50" s="8" t="inlineStr">
        <is>
          <t>Total MVP</t>
        </is>
      </c>
      <c r="D50" s="6" t="n"/>
      <c r="E50" s="6" t="n"/>
      <c r="F50" s="6" t="n"/>
      <c r="G50" s="8">
        <f>SUM(G22)</f>
        <v/>
      </c>
      <c r="H50" s="6" t="n"/>
      <c r="I50" s="6" t="n"/>
      <c r="J50" s="6" t="n"/>
    </row>
    <row r="51">
      <c r="A51" s="2" t="inlineStr">
        <is>
          <t>3</t>
        </is>
      </c>
      <c r="B51" s="2" t="inlineStr">
        <is>
          <t>Production</t>
        </is>
      </c>
      <c r="C51" s="3" t="inlineStr">
        <is>
          <t>Production</t>
        </is>
      </c>
      <c r="G51" s="3">
        <f>SUM(G52,G53,G54,G55,G56,G57,G58,G59,G60,G61,G62,G63)</f>
        <v/>
      </c>
    </row>
    <row r="52">
      <c r="A52" s="2" t="inlineStr">
        <is>
          <t>3.1</t>
        </is>
      </c>
      <c r="B52" s="2" t="inlineStr">
        <is>
          <t>Production</t>
        </is>
      </c>
      <c r="C52" s="4" t="inlineStr">
        <is>
          <t>Quản lý triển khai – đợt 1</t>
        </is>
      </c>
      <c r="E52" s="2" t="inlineStr">
        <is>
          <t>PM</t>
        </is>
      </c>
      <c r="F52" s="2" t="inlineStr">
        <is>
          <t>Mid</t>
        </is>
      </c>
      <c r="G52" s="2" t="n">
        <v>7</v>
      </c>
      <c r="H52" s="2" t="inlineStr">
        <is>
          <t>2.8</t>
        </is>
      </c>
      <c r="I52" s="2" t="inlineStr">
        <is>
          <t>Kết quả: quản lý triển khai – đợt 1</t>
        </is>
      </c>
    </row>
    <row r="53">
      <c r="A53" s="2" t="inlineStr">
        <is>
          <t>3.2</t>
        </is>
      </c>
      <c r="B53" s="2" t="inlineStr">
        <is>
          <t>Production</t>
        </is>
      </c>
      <c r="C53" s="4" t="inlineStr">
        <is>
          <t>Quản lý triển khai – đợt 2</t>
        </is>
      </c>
      <c r="E53" s="2" t="inlineStr">
        <is>
          <t>PM</t>
        </is>
      </c>
      <c r="F53" s="2" t="inlineStr">
        <is>
          <t>Mid</t>
        </is>
      </c>
      <c r="G53" s="2" t="n">
        <v>7</v>
      </c>
      <c r="I53" s="2" t="inlineStr">
        <is>
          <t>Kết quả: quản lý triển khai – đợt 2</t>
        </is>
      </c>
    </row>
    <row r="54">
      <c r="A54" s="2" t="inlineStr">
        <is>
          <t>3.3</t>
        </is>
      </c>
      <c r="B54" s="2" t="inlineStr">
        <is>
          <t>Production</t>
        </is>
      </c>
      <c r="C54" s="4" t="inlineStr">
        <is>
          <t>Hardening &amp; bảo mật – đợt 1</t>
        </is>
      </c>
      <c r="E54" s="2" t="inlineStr">
        <is>
          <t>INFRA</t>
        </is>
      </c>
      <c r="F54" s="2" t="inlineStr">
        <is>
          <t>Mid</t>
        </is>
      </c>
      <c r="G54" s="2" t="n">
        <v>7</v>
      </c>
      <c r="H54" s="2" t="inlineStr">
        <is>
          <t>3.2</t>
        </is>
      </c>
      <c r="I54" s="2" t="inlineStr">
        <is>
          <t>Kết quả: hardening &amp; bảo mật – đợt 1</t>
        </is>
      </c>
      <c r="J54" s="2" t="inlineStr">
        <is>
          <t>security</t>
        </is>
      </c>
    </row>
    <row r="55">
      <c r="A55" s="2" t="inlineStr">
        <is>
          <t>3.4</t>
        </is>
      </c>
      <c r="B55" s="2" t="inlineStr">
        <is>
          <t>Production</t>
        </is>
      </c>
      <c r="C55" s="4" t="inlineStr">
        <is>
          <t>Hardening &amp; bảo mật – đợt 2</t>
        </is>
      </c>
      <c r="E55" s="2" t="inlineStr">
        <is>
          <t>INFRA</t>
        </is>
      </c>
      <c r="F55" s="2" t="inlineStr">
        <is>
          <t>Mid</t>
        </is>
      </c>
      <c r="G55" s="2" t="n">
        <v>7</v>
      </c>
      <c r="H55" s="2" t="inlineStr">
        <is>
          <t>3.2</t>
        </is>
      </c>
      <c r="I55" s="2" t="inlineStr">
        <is>
          <t>Kết quả: hardening &amp; bảo mật – đợt 2</t>
        </is>
      </c>
      <c r="J55" s="2" t="inlineStr">
        <is>
          <t>security</t>
        </is>
      </c>
    </row>
    <row r="56">
      <c r="A56" s="2" t="inlineStr">
        <is>
          <t>3.5</t>
        </is>
      </c>
      <c r="B56" s="2" t="inlineStr">
        <is>
          <t>Production</t>
        </is>
      </c>
      <c r="C56" s="4" t="inlineStr">
        <is>
          <t>Mở rộng Vector index – đợt 1</t>
        </is>
      </c>
      <c r="E56" s="2" t="inlineStr">
        <is>
          <t>BE</t>
        </is>
      </c>
      <c r="F56" s="2" t="inlineStr">
        <is>
          <t>Mid</t>
        </is>
      </c>
      <c r="G56" s="2" t="n">
        <v>7</v>
      </c>
      <c r="H56" s="2" t="inlineStr">
        <is>
          <t>3.2</t>
        </is>
      </c>
      <c r="I56" s="2" t="inlineStr">
        <is>
          <t>Kết quả: mở rộng vector index – đợt 1</t>
        </is>
      </c>
    </row>
    <row r="57">
      <c r="A57" s="2" t="inlineStr">
        <is>
          <t>3.6</t>
        </is>
      </c>
      <c r="B57" s="2" t="inlineStr">
        <is>
          <t>Production</t>
        </is>
      </c>
      <c r="C57" s="4" t="inlineStr">
        <is>
          <t>Mở rộng Vector index – đợt 2</t>
        </is>
      </c>
      <c r="E57" s="2" t="inlineStr">
        <is>
          <t>BE</t>
        </is>
      </c>
      <c r="F57" s="2" t="inlineStr">
        <is>
          <t>Mid</t>
        </is>
      </c>
      <c r="G57" s="2" t="n">
        <v>7</v>
      </c>
      <c r="H57" s="2" t="inlineStr">
        <is>
          <t>3.2</t>
        </is>
      </c>
      <c r="I57" s="2" t="inlineStr">
        <is>
          <t>Kết quả: mở rộng vector index – đợt 2</t>
        </is>
      </c>
    </row>
    <row r="58">
      <c r="A58" s="2" t="inlineStr">
        <is>
          <t>3.7</t>
        </is>
      </c>
      <c r="B58" s="2" t="inlineStr">
        <is>
          <t>Production</t>
        </is>
      </c>
      <c r="C58" s="4" t="inlineStr">
        <is>
          <t>Giám sát &amp; vận hành – đợt 1</t>
        </is>
      </c>
      <c r="E58" s="2" t="inlineStr">
        <is>
          <t>INFRA</t>
        </is>
      </c>
      <c r="F58" s="2" t="inlineStr">
        <is>
          <t>Mid</t>
        </is>
      </c>
      <c r="G58" s="2" t="n">
        <v>7</v>
      </c>
      <c r="H58" s="2" t="inlineStr">
        <is>
          <t>3.2</t>
        </is>
      </c>
      <c r="I58" s="2" t="inlineStr">
        <is>
          <t>Kết quả: giám sát &amp; vận hành – đợt 1</t>
        </is>
      </c>
    </row>
    <row r="59">
      <c r="A59" s="2" t="inlineStr">
        <is>
          <t>3.8</t>
        </is>
      </c>
      <c r="B59" s="2" t="inlineStr">
        <is>
          <t>Production</t>
        </is>
      </c>
      <c r="C59" s="4" t="inlineStr">
        <is>
          <t>Giám sát &amp; vận hành – đợt 2</t>
        </is>
      </c>
      <c r="E59" s="2" t="inlineStr">
        <is>
          <t>INFRA</t>
        </is>
      </c>
      <c r="F59" s="2" t="inlineStr">
        <is>
          <t>Mid</t>
        </is>
      </c>
      <c r="G59" s="2" t="n">
        <v>7</v>
      </c>
      <c r="H59" s="2" t="inlineStr">
        <is>
          <t>3.2</t>
        </is>
      </c>
      <c r="I59" s="2" t="inlineStr">
        <is>
          <t>Kết quả: giám sát &amp; vận hành – đợt 2</t>
        </is>
      </c>
    </row>
    <row r="60">
      <c r="A60" s="2" t="inlineStr">
        <is>
          <t>3.9</t>
        </is>
      </c>
      <c r="B60" s="2" t="inlineStr">
        <is>
          <t>Production</t>
        </is>
      </c>
      <c r="C60" s="4" t="inlineStr">
        <is>
          <t>UAT và nghiệm thu – đợt 1</t>
        </is>
      </c>
      <c r="E60" s="2" t="inlineStr">
        <is>
          <t>QA</t>
        </is>
      </c>
      <c r="F60" s="2" t="inlineStr">
        <is>
          <t>High</t>
        </is>
      </c>
      <c r="G60" s="2" t="n">
        <v>6</v>
      </c>
      <c r="H60" s="2" t="inlineStr">
        <is>
          <t>3.5, 3.6</t>
        </is>
      </c>
      <c r="I60" s="2" t="inlineStr">
        <is>
          <t>Kết quả: uat và nghiệm thu – đợt 1</t>
        </is>
      </c>
    </row>
    <row r="61">
      <c r="A61" s="2" t="inlineStr">
        <is>
          <t>3.10</t>
        </is>
      </c>
      <c r="B61" s="2" t="inlineStr">
        <is>
          <t>Production</t>
        </is>
      </c>
      <c r="C61" s="4" t="inlineStr">
        <is>
          <t>UAT và nghiệm thu – đợt 2</t>
        </is>
      </c>
      <c r="E61" s="2" t="inlineStr">
        <is>
          <t>QA</t>
        </is>
      </c>
      <c r="F61" s="2" t="inlineStr">
        <is>
          <t>High</t>
        </is>
      </c>
      <c r="G61" s="2" t="n">
        <v>6</v>
      </c>
      <c r="H61" s="2" t="inlineStr">
        <is>
          <t>3.5, 3.6</t>
        </is>
      </c>
      <c r="I61" s="2" t="inlineStr">
        <is>
          <t>Kết quả: uat và nghiệm thu – đợt 2</t>
        </is>
      </c>
    </row>
    <row r="62">
      <c r="A62" s="2" t="inlineStr">
        <is>
          <t>3.11</t>
        </is>
      </c>
      <c r="B62" s="2" t="inlineStr">
        <is>
          <t>Production</t>
        </is>
      </c>
      <c r="C62" s="4" t="inlineStr">
        <is>
          <t>Đào tạo &amp; bàn giao – đợt 1</t>
        </is>
      </c>
      <c r="E62" s="2" t="inlineStr">
        <is>
          <t>BA</t>
        </is>
      </c>
      <c r="F62" s="2" t="inlineStr">
        <is>
          <t>Mid</t>
        </is>
      </c>
      <c r="G62" s="2" t="n">
        <v>6</v>
      </c>
      <c r="I62" s="2" t="inlineStr">
        <is>
          <t>Kết quả: đào tạo &amp; bàn giao – đợt 1</t>
        </is>
      </c>
      <c r="J62" s="2" t="inlineStr">
        <is>
          <t>documentation</t>
        </is>
      </c>
    </row>
    <row r="63">
      <c r="A63" s="2" t="inlineStr">
        <is>
          <t>3.12</t>
        </is>
      </c>
      <c r="B63" s="2" t="inlineStr">
        <is>
          <t>Production</t>
        </is>
      </c>
      <c r="C63" s="4" t="inlineStr">
        <is>
          <t>Đào tạo &amp; bàn giao – đợt 2</t>
        </is>
      </c>
      <c r="E63" s="2" t="inlineStr">
        <is>
          <t>BA</t>
        </is>
      </c>
      <c r="F63" s="2" t="inlineStr">
        <is>
          <t>Mid</t>
        </is>
      </c>
      <c r="G63" s="2" t="n">
        <v>6</v>
      </c>
      <c r="I63" s="2" t="inlineStr">
        <is>
          <t>Kết quả: đào tạo &amp; bàn giao – đợt 2</t>
        </is>
      </c>
      <c r="J63" s="2" t="inlineStr">
        <is>
          <t>documentation</t>
        </is>
      </c>
    </row>
    <row r="64">
      <c r="A64" s="6" t="n"/>
      <c r="B64" s="7" t="inlineStr">
        <is>
          <t>Production</t>
        </is>
      </c>
      <c r="C64" s="8" t="inlineStr">
        <is>
          <t>Total Production</t>
        </is>
      </c>
      <c r="D64" s="6" t="n"/>
      <c r="E64" s="6" t="n"/>
      <c r="F64" s="6" t="n"/>
      <c r="G64" s="8">
        <f>SUM(G51)</f>
        <v/>
      </c>
      <c r="H64" s="6" t="n"/>
      <c r="I64" s="6" t="n"/>
      <c r="J64" s="6" t="n"/>
    </row>
    <row r="65">
      <c r="C65" s="3" t="inlineStr">
        <is>
          <t>Grand total</t>
        </is>
      </c>
      <c r="G65" s="3">
        <f>SUM(G21,G50,G64)</f>
        <v/>
      </c>
    </row>
  </sheetData>
  <autoFilter ref="A1:J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Phase</t>
        </is>
      </c>
      <c r="B1" s="1" t="inlineStr">
        <is>
          <t>AI</t>
        </is>
      </c>
      <c r="C1" s="1" t="inlineStr">
        <is>
          <t>BE</t>
        </is>
      </c>
      <c r="D1" s="1" t="inlineStr">
        <is>
          <t>FE</t>
        </is>
      </c>
      <c r="E1" s="1" t="inlineStr">
        <is>
          <t>QA</t>
        </is>
      </c>
      <c r="F1" s="1" t="inlineStr">
        <is>
          <t>BA</t>
        </is>
      </c>
      <c r="G1" s="1" t="inlineStr">
        <is>
          <t>PM</t>
        </is>
      </c>
      <c r="H1" s="1" t="inlineStr">
        <is>
          <t>INFRA</t>
        </is>
      </c>
      <c r="I1" s="1" t="inlineStr">
        <is>
          <t>DATA</t>
        </is>
      </c>
      <c r="J1" s="1" t="inlineStr">
        <is>
          <t>Total</t>
        </is>
      </c>
    </row>
    <row r="2">
      <c r="A2" s="3" t="inlineStr">
        <is>
          <t>PoC</t>
        </is>
      </c>
      <c r="B2" s="2">
        <f>SUMIFS(WBS!$G:$G,WBS!$B:$B,$A2,WBS!$E:$E,B$1)</f>
        <v/>
      </c>
      <c r="C2" s="2">
        <f>SUMIFS(WBS!$G:$G,WBS!$B:$B,$A2,WBS!$E:$E,C$1)</f>
        <v/>
      </c>
      <c r="D2" s="2">
        <f>SUMIFS(WBS!$G:$G,WBS!$B:$B,$A2,WBS!$E:$E,D$1)</f>
        <v/>
      </c>
      <c r="E2" s="2">
        <f>SUMIFS(WBS!$G:$G,WBS!$B:$B,$A2,WBS!$E:$E,E$1)</f>
        <v/>
      </c>
      <c r="F2" s="2">
        <f>SUMIFS(WBS!$G:$G,WBS!$B:$B,$A2,WBS!$E:$E,F$1)</f>
        <v/>
      </c>
      <c r="G2" s="2">
        <f>SUMIFS(WBS!$G:$G,WBS!$B:$B,$A2,WBS!$E:$E,G$1)</f>
        <v/>
      </c>
      <c r="H2" s="2">
        <f>SUMIFS(WBS!$G:$G,WBS!$B:$B,$A2,WBS!$E:$E,H$1)</f>
        <v/>
      </c>
      <c r="I2" s="2">
        <f>SUMIFS(WBS!$G:$G,WBS!$B:$B,$A2,WBS!$E:$E,I$1)</f>
        <v/>
      </c>
      <c r="J2" s="3">
        <f>SUM(B2:I2)</f>
        <v/>
      </c>
    </row>
    <row r="3">
      <c r="A3" s="3" t="inlineStr">
        <is>
          <t>MVP</t>
        </is>
      </c>
      <c r="B3" s="2">
        <f>SUMIFS(WBS!$G:$G,WBS!$B:$B,$A3,WBS!$E:$E,B$1)</f>
        <v/>
      </c>
      <c r="C3" s="2">
        <f>SUMIFS(WBS!$G:$G,WBS!$B:$B,$A3,WBS!$E:$E,C$1)</f>
        <v/>
      </c>
      <c r="D3" s="2">
        <f>SUMIFS(WBS!$G:$G,WBS!$B:$B,$A3,WBS!$E:$E,D$1)</f>
        <v/>
      </c>
      <c r="E3" s="2">
        <f>SUMIFS(WBS!$G:$G,WBS!$B:$B,$A3,WBS!$E:$E,E$1)</f>
        <v/>
      </c>
      <c r="F3" s="2">
        <f>SUMIFS(WBS!$G:$G,WBS!$B:$B,$A3,WBS!$E:$E,F$1)</f>
        <v/>
      </c>
      <c r="G3" s="2">
        <f>SUMIFS(WBS!$G:$G,WBS!$B:$B,$A3,WBS!$E:$E,G$1)</f>
        <v/>
      </c>
      <c r="H3" s="2">
        <f>SUMIFS(WBS!$G:$G,WBS!$B:$B,$A3,WBS!$E:$E,H$1)</f>
        <v/>
      </c>
      <c r="I3" s="2">
        <f>SUMIFS(WBS!$G:$G,WBS!$B:$B,$A3,WBS!$E:$E,I$1)</f>
        <v/>
      </c>
      <c r="J3" s="3">
        <f>SUM(B3:I3)</f>
        <v/>
      </c>
    </row>
    <row r="4">
      <c r="A4" s="3" t="inlineStr">
        <is>
          <t>Production</t>
        </is>
      </c>
      <c r="B4" s="2">
        <f>SUMIFS(WBS!$G:$G,WBS!$B:$B,$A4,WBS!$E:$E,B$1)</f>
        <v/>
      </c>
      <c r="C4" s="2">
        <f>SUMIFS(WBS!$G:$G,WBS!$B:$B,$A4,WBS!$E:$E,C$1)</f>
        <v/>
      </c>
      <c r="D4" s="2">
        <f>SUMIFS(WBS!$G:$G,WBS!$B:$B,$A4,WBS!$E:$E,D$1)</f>
        <v/>
      </c>
      <c r="E4" s="2">
        <f>SUMIFS(WBS!$G:$G,WBS!$B:$B,$A4,WBS!$E:$E,E$1)</f>
        <v/>
      </c>
      <c r="F4" s="2">
        <f>SUMIFS(WBS!$G:$G,WBS!$B:$B,$A4,WBS!$E:$E,F$1)</f>
        <v/>
      </c>
      <c r="G4" s="2">
        <f>SUMIFS(WBS!$G:$G,WBS!$B:$B,$A4,WBS!$E:$E,G$1)</f>
        <v/>
      </c>
      <c r="H4" s="2">
        <f>SUMIFS(WBS!$G:$G,WBS!$B:$B,$A4,WBS!$E:$E,H$1)</f>
        <v/>
      </c>
      <c r="I4" s="2">
        <f>SUMIFS(WBS!$G:$G,WBS!$B:$B,$A4,WBS!$E:$E,I$1)</f>
        <v/>
      </c>
      <c r="J4" s="3">
        <f>SUM(B4:I4)</f>
        <v/>
      </c>
    </row>
    <row r="5">
      <c r="A5" s="8" t="inlineStr">
        <is>
          <t>Total</t>
        </is>
      </c>
      <c r="B5" s="8">
        <f>SUM(B2:B4)</f>
        <v/>
      </c>
      <c r="C5" s="8">
        <f>SUM(C2:C4)</f>
        <v/>
      </c>
      <c r="D5" s="8">
        <f>SUM(D2:D4)</f>
        <v/>
      </c>
      <c r="E5" s="8">
        <f>SUM(E2:E4)</f>
        <v/>
      </c>
      <c r="F5" s="8">
        <f>SUM(F2:F4)</f>
        <v/>
      </c>
      <c r="G5" s="8">
        <f>SUM(G2:G4)</f>
        <v/>
      </c>
      <c r="H5" s="8">
        <f>SUM(H2:H4)</f>
        <v/>
      </c>
      <c r="I5" s="8">
        <f>SUM(I2:I4)</f>
        <v/>
      </c>
      <c r="J5" s="8">
        <f>SUM(J2:J4)</f>
        <v/>
      </c>
    </row>
    <row r="7">
      <c r="A7" s="9" t="inlineStr">
        <is>
          <t>Assumptions</t>
        </is>
      </c>
    </row>
    <row r="8" ht="15" customHeight="1">
      <c r="A8" s="10" t="inlineStr">
        <is>
          <t>• WBS sinh bởi mock LLM.</t>
        </is>
      </c>
    </row>
    <row r="10">
      <c r="A10" s="9" t="inlineStr">
        <is>
          <t>Out of scope</t>
        </is>
      </c>
    </row>
    <row r="11" ht="15" customHeight="1">
      <c r="A11" s="10" t="inlineStr">
        <is>
          <t>• Ứng dụng di động native (iOS/Android)</t>
        </is>
      </c>
    </row>
    <row r="12" ht="15" customHeight="1">
      <c r="A12" s="10" t="inlineStr">
        <is>
          <t>• Tích hợp hệ thống ERP hiện có chưa được liệt kê trong requirements</t>
        </is>
      </c>
    </row>
    <row r="13" ht="15" customHeight="1">
      <c r="A13" s="10" t="inlineStr">
        <is>
          <t>• Di chuyển (migrate) toàn bộ dữ liệu lịch sử (chỉ nạp dữ liệu mẫu trong PoC)</t>
        </is>
      </c>
    </row>
  </sheetData>
  <autoFilter ref="A1:J5"/>
  <mergeCells count="4">
    <mergeCell ref="A12:J12"/>
    <mergeCell ref="A13:J13"/>
    <mergeCell ref="A8:J8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11" customWidth="1" min="3" max="3"/>
    <col width="11" customWidth="1" min="4" max="4"/>
    <col width="11" customWidth="1" min="5" max="5"/>
    <col width="6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Phase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Days</t>
        </is>
      </c>
      <c r="G1" s="1" t="inlineStr">
        <is>
          <t>26/10</t>
        </is>
      </c>
      <c r="H1" s="1" t="inlineStr">
        <is>
          <t>02/11</t>
        </is>
      </c>
      <c r="I1" s="1" t="inlineStr">
        <is>
          <t>09/11</t>
        </is>
      </c>
      <c r="J1" s="1" t="inlineStr">
        <is>
          <t>16/11</t>
        </is>
      </c>
      <c r="K1" s="1" t="inlineStr">
        <is>
          <t>23/11</t>
        </is>
      </c>
      <c r="L1" s="1" t="inlineStr">
        <is>
          <t>30/11</t>
        </is>
      </c>
      <c r="M1" s="1" t="inlineStr">
        <is>
          <t>07/12</t>
        </is>
      </c>
      <c r="N1" s="1" t="inlineStr">
        <is>
          <t>14/12</t>
        </is>
      </c>
      <c r="O1" s="1" t="inlineStr">
        <is>
          <t>21/12</t>
        </is>
      </c>
      <c r="P1" s="1" t="inlineStr">
        <is>
          <t>28/12</t>
        </is>
      </c>
      <c r="Q1" s="1" t="inlineStr">
        <is>
          <t>04/01</t>
        </is>
      </c>
      <c r="R1" s="1" t="inlineStr">
        <is>
          <t>11/01</t>
        </is>
      </c>
      <c r="S1" s="1" t="inlineStr">
        <is>
          <t>18/01</t>
        </is>
      </c>
      <c r="T1" s="1" t="inlineStr">
        <is>
          <t>25/01</t>
        </is>
      </c>
      <c r="U1" s="1" t="inlineStr">
        <is>
          <t>01/02</t>
        </is>
      </c>
      <c r="V1" s="1" t="inlineStr">
        <is>
          <t>08/02</t>
        </is>
      </c>
      <c r="W1" s="1" t="inlineStr">
        <is>
          <t>15/02</t>
        </is>
      </c>
      <c r="X1" s="1" t="inlineStr">
        <is>
          <t>22/02</t>
        </is>
      </c>
      <c r="Y1" s="1" t="inlineStr">
        <is>
          <t>01/03</t>
        </is>
      </c>
      <c r="Z1" s="1" t="inlineStr">
        <is>
          <t>08/03</t>
        </is>
      </c>
      <c r="AA1" s="1" t="inlineStr">
        <is>
          <t>15/03</t>
        </is>
      </c>
      <c r="AB1" s="1" t="inlineStr">
        <is>
          <t>22/03</t>
        </is>
      </c>
      <c r="AC1" s="1" t="inlineStr">
        <is>
          <t>29/03</t>
        </is>
      </c>
      <c r="AD1" s="1" t="inlineStr">
        <is>
          <t>05/04</t>
        </is>
      </c>
    </row>
    <row r="2">
      <c r="A2" s="3" t="inlineStr"/>
      <c r="B2" s="3" t="inlineStr">
        <is>
          <t>PoC</t>
        </is>
      </c>
      <c r="C2" s="3" t="inlineStr">
        <is>
          <t>PoC</t>
        </is>
      </c>
      <c r="D2" s="11" t="n">
        <v>46321</v>
      </c>
      <c r="E2" s="11" t="n">
        <v>46359</v>
      </c>
      <c r="F2" s="3" t="n">
        <v>29</v>
      </c>
      <c r="G2" s="12" t="n"/>
      <c r="H2" s="12" t="n"/>
      <c r="I2" s="12" t="n"/>
      <c r="J2" s="12" t="n"/>
      <c r="K2" s="12" t="n"/>
      <c r="L2" s="12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>
      <c r="A3" s="2" t="inlineStr">
        <is>
          <t>1.1</t>
        </is>
      </c>
      <c r="B3" s="14" t="inlineStr">
        <is>
          <t>Kick-off và quản lý PoC</t>
        </is>
      </c>
      <c r="C3" s="2" t="inlineStr">
        <is>
          <t>PoC</t>
        </is>
      </c>
      <c r="D3" s="15" t="n">
        <v>46321</v>
      </c>
      <c r="E3" s="15" t="n">
        <v>46331</v>
      </c>
      <c r="F3" s="2" t="n">
        <v>9</v>
      </c>
      <c r="G3" s="16" t="n"/>
      <c r="H3" s="16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>
      <c r="A4" s="2" t="inlineStr">
        <is>
          <t>1.2</t>
        </is>
      </c>
      <c r="B4" s="14" t="inlineStr">
        <is>
          <t>Khảo sát dữ liệu &amp; yêu cầu</t>
        </is>
      </c>
      <c r="C4" s="2" t="inlineStr">
        <is>
          <t>PoC</t>
        </is>
      </c>
      <c r="D4" s="15" t="n">
        <v>46321</v>
      </c>
      <c r="E4" s="15" t="n">
        <v>46331</v>
      </c>
      <c r="F4" s="2" t="n">
        <v>9</v>
      </c>
      <c r="G4" s="16" t="n"/>
      <c r="H4" s="16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>
      <c r="A5" s="2" t="inlineStr">
        <is>
          <t>1.3</t>
        </is>
      </c>
      <c r="B5" s="14" t="inlineStr">
        <is>
          <t>Chuẩn bị dữ liệu mẫu</t>
        </is>
      </c>
      <c r="C5" s="2" t="inlineStr">
        <is>
          <t>PoC</t>
        </is>
      </c>
      <c r="D5" s="15" t="n">
        <v>46332</v>
      </c>
      <c r="E5" s="15" t="n">
        <v>46343</v>
      </c>
      <c r="F5" s="2" t="n">
        <v>8</v>
      </c>
      <c r="G5" s="13" t="n"/>
      <c r="H5" s="16" t="n"/>
      <c r="I5" s="16" t="n"/>
      <c r="J5" s="16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>
      <c r="A6" s="2" t="inlineStr">
        <is>
          <t>1.4</t>
        </is>
      </c>
      <c r="B6" s="14" t="inlineStr">
        <is>
          <t>Dựng prototype Chat API</t>
        </is>
      </c>
      <c r="C6" s="2" t="inlineStr">
        <is>
          <t>PoC</t>
        </is>
      </c>
      <c r="D6" s="15" t="n">
        <v>46332</v>
      </c>
      <c r="E6" s="15" t="n">
        <v>46337</v>
      </c>
      <c r="F6" s="2" t="n">
        <v>4</v>
      </c>
      <c r="G6" s="13" t="n"/>
      <c r="H6" s="16" t="n"/>
      <c r="I6" s="16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>
      <c r="A7" s="2" t="inlineStr">
        <is>
          <t>1.5</t>
        </is>
      </c>
      <c r="B7" s="14" t="inlineStr">
        <is>
          <t>Đánh giá kết quả PoC</t>
        </is>
      </c>
      <c r="C7" s="2" t="inlineStr">
        <is>
          <t>PoC</t>
        </is>
      </c>
      <c r="D7" s="15" t="n">
        <v>46332</v>
      </c>
      <c r="E7" s="15" t="n">
        <v>46337</v>
      </c>
      <c r="F7" s="2" t="n">
        <v>4</v>
      </c>
      <c r="G7" s="13" t="n"/>
      <c r="H7" s="16" t="n"/>
      <c r="I7" s="16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>
      <c r="A8" s="2" t="inlineStr">
        <is>
          <t>1.6</t>
        </is>
      </c>
      <c r="B8" s="14" t="inlineStr">
        <is>
          <t>Test và nghiệm thu PoC</t>
        </is>
      </c>
      <c r="C8" s="2" t="inlineStr">
        <is>
          <t>PoC</t>
        </is>
      </c>
      <c r="D8" s="15" t="n">
        <v>46344</v>
      </c>
      <c r="E8" s="15" t="n">
        <v>46353</v>
      </c>
      <c r="F8" s="2" t="n">
        <v>8</v>
      </c>
      <c r="G8" s="13" t="n"/>
      <c r="H8" s="13" t="n"/>
      <c r="I8" s="13" t="n"/>
      <c r="J8" s="16" t="n"/>
      <c r="K8" s="16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>
      <c r="A9" s="17" t="inlineStr">
        <is>
          <t>M1</t>
        </is>
      </c>
      <c r="B9" s="17" t="inlineStr">
        <is>
          <t>Kick-off (30%)</t>
        </is>
      </c>
      <c r="C9" s="17" t="inlineStr">
        <is>
          <t>PoC</t>
        </is>
      </c>
      <c r="D9" s="18" t="n">
        <v>46321</v>
      </c>
      <c r="E9" s="18" t="n">
        <v>46321</v>
      </c>
      <c r="F9" s="17" t="n">
        <v>0</v>
      </c>
      <c r="G9" s="19" t="inlineStr">
        <is>
          <t>◆</t>
        </is>
      </c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>
      <c r="A10" s="17" t="inlineStr">
        <is>
          <t>M2</t>
        </is>
      </c>
      <c r="B10" s="17" t="inlineStr">
        <is>
          <t>Nghiệm thu PoC</t>
        </is>
      </c>
      <c r="C10" s="17" t="inlineStr">
        <is>
          <t>PoC</t>
        </is>
      </c>
      <c r="D10" s="18" t="n">
        <v>46359</v>
      </c>
      <c r="E10" s="18" t="n">
        <v>46359</v>
      </c>
      <c r="F10" s="17" t="n">
        <v>0</v>
      </c>
      <c r="G10" s="13" t="n"/>
      <c r="H10" s="13" t="n"/>
      <c r="I10" s="13" t="n"/>
      <c r="J10" s="13" t="n"/>
      <c r="K10" s="13" t="n"/>
      <c r="L10" s="19" t="inlineStr">
        <is>
          <t>◆</t>
        </is>
      </c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>
      <c r="A11" s="3" t="inlineStr"/>
      <c r="B11" s="3" t="inlineStr">
        <is>
          <t>MVP</t>
        </is>
      </c>
      <c r="C11" s="3" t="inlineStr">
        <is>
          <t>MVP</t>
        </is>
      </c>
      <c r="D11" s="11" t="n">
        <v>46360</v>
      </c>
      <c r="E11" s="11" t="n">
        <v>46441</v>
      </c>
      <c r="F11" s="3" t="n">
        <v>58</v>
      </c>
      <c r="G11" s="13" t="n"/>
      <c r="H11" s="13" t="n"/>
      <c r="I11" s="13" t="n"/>
      <c r="J11" s="13" t="n"/>
      <c r="K11" s="13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13" t="n"/>
      <c r="Z11" s="13" t="n"/>
      <c r="AA11" s="13" t="n"/>
      <c r="AB11" s="13" t="n"/>
      <c r="AC11" s="13" t="n"/>
      <c r="AD11" s="13" t="n"/>
    </row>
    <row r="12">
      <c r="A12" s="2" t="inlineStr">
        <is>
          <t>2.1</t>
        </is>
      </c>
      <c r="B12" s="14" t="inlineStr">
        <is>
          <t>Quản lý dự án MVP</t>
        </is>
      </c>
      <c r="C12" s="2" t="inlineStr">
        <is>
          <t>MVP</t>
        </is>
      </c>
      <c r="D12" s="15" t="n">
        <v>46360</v>
      </c>
      <c r="E12" s="15" t="n">
        <v>46384</v>
      </c>
      <c r="F12" s="2" t="n">
        <v>17</v>
      </c>
      <c r="G12" s="13" t="n"/>
      <c r="H12" s="13" t="n"/>
      <c r="I12" s="13" t="n"/>
      <c r="J12" s="13" t="n"/>
      <c r="K12" s="13" t="n"/>
      <c r="L12" s="21" t="n"/>
      <c r="M12" s="21" t="n"/>
      <c r="N12" s="21" t="n"/>
      <c r="O12" s="21" t="n"/>
      <c r="P12" s="21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>
      <c r="A13" s="2" t="inlineStr">
        <is>
          <t>2.2</t>
        </is>
      </c>
      <c r="B13" s="14" t="inlineStr">
        <is>
          <t>Phân tích &amp; thiết kế chi tiết</t>
        </is>
      </c>
      <c r="C13" s="2" t="inlineStr">
        <is>
          <t>MVP</t>
        </is>
      </c>
      <c r="D13" s="15" t="n">
        <v>46360</v>
      </c>
      <c r="E13" s="15" t="n">
        <v>46384</v>
      </c>
      <c r="F13" s="2" t="n">
        <v>17</v>
      </c>
      <c r="G13" s="13" t="n"/>
      <c r="H13" s="13" t="n"/>
      <c r="I13" s="13" t="n"/>
      <c r="J13" s="13" t="n"/>
      <c r="K13" s="13" t="n"/>
      <c r="L13" s="21" t="n"/>
      <c r="M13" s="21" t="n"/>
      <c r="N13" s="21" t="n"/>
      <c r="O13" s="21" t="n"/>
      <c r="P13" s="21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>
      <c r="A14" s="2" t="inlineStr">
        <is>
          <t>2.3</t>
        </is>
      </c>
      <c r="B14" s="14" t="inlineStr">
        <is>
          <t>Chuẩn bị &amp; làm sạch dữ liệu</t>
        </is>
      </c>
      <c r="C14" s="2" t="inlineStr">
        <is>
          <t>MVP</t>
        </is>
      </c>
      <c r="D14" s="15" t="n">
        <v>46385</v>
      </c>
      <c r="E14" s="15" t="n">
        <v>46407</v>
      </c>
      <c r="F14" s="2" t="n">
        <v>17</v>
      </c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21" t="n"/>
      <c r="Q14" s="21" t="n"/>
      <c r="R14" s="21" t="n"/>
      <c r="S14" s="21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>
      <c r="A15" s="2" t="inlineStr">
        <is>
          <t>2.4</t>
        </is>
      </c>
      <c r="B15" s="14" t="inlineStr">
        <is>
          <t>Xây dựng Chat API</t>
        </is>
      </c>
      <c r="C15" s="2" t="inlineStr">
        <is>
          <t>MVP</t>
        </is>
      </c>
      <c r="D15" s="15" t="n">
        <v>46385</v>
      </c>
      <c r="E15" s="15" t="n">
        <v>46395</v>
      </c>
      <c r="F15" s="2" t="n">
        <v>9</v>
      </c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21" t="n"/>
      <c r="Q15" s="21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>
      <c r="A16" s="2" t="inlineStr">
        <is>
          <t>2.5</t>
        </is>
      </c>
      <c r="B16" s="14" t="inlineStr">
        <is>
          <t>Xây dựng Web chat</t>
        </is>
      </c>
      <c r="C16" s="2" t="inlineStr">
        <is>
          <t>MVP</t>
        </is>
      </c>
      <c r="D16" s="15" t="n">
        <v>46385</v>
      </c>
      <c r="E16" s="15" t="n">
        <v>46407</v>
      </c>
      <c r="F16" s="2" t="n">
        <v>17</v>
      </c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21" t="n"/>
      <c r="Q16" s="21" t="n"/>
      <c r="R16" s="21" t="n"/>
      <c r="S16" s="21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>
      <c r="A17" s="2" t="inlineStr">
        <is>
          <t>2.6</t>
        </is>
      </c>
      <c r="B17" s="14" t="inlineStr">
        <is>
          <t>Giao diện người dùng</t>
        </is>
      </c>
      <c r="C17" s="2" t="inlineStr">
        <is>
          <t>MVP</t>
        </is>
      </c>
      <c r="D17" s="15" t="n">
        <v>46385</v>
      </c>
      <c r="E17" s="15" t="n">
        <v>46407</v>
      </c>
      <c r="F17" s="2" t="n">
        <v>17</v>
      </c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21" t="n"/>
      <c r="Q17" s="21" t="n"/>
      <c r="R17" s="21" t="n"/>
      <c r="S17" s="21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>
      <c r="A18" s="2" t="inlineStr">
        <is>
          <t>2.7</t>
        </is>
      </c>
      <c r="B18" s="14" t="inlineStr">
        <is>
          <t>Bộ đánh giá chất lượng</t>
        </is>
      </c>
      <c r="C18" s="2" t="inlineStr">
        <is>
          <t>MVP</t>
        </is>
      </c>
      <c r="D18" s="15" t="n">
        <v>46385</v>
      </c>
      <c r="E18" s="15" t="n">
        <v>46394</v>
      </c>
      <c r="F18" s="2" t="n">
        <v>8</v>
      </c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21" t="n"/>
      <c r="Q18" s="21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>
      <c r="A19" s="2" t="inlineStr">
        <is>
          <t>2.8</t>
        </is>
      </c>
      <c r="B19" s="14" t="inlineStr">
        <is>
          <t>Test và nghiệm thu MVP</t>
        </is>
      </c>
      <c r="C19" s="2" t="inlineStr">
        <is>
          <t>MVP</t>
        </is>
      </c>
      <c r="D19" s="15" t="n">
        <v>46408</v>
      </c>
      <c r="E19" s="15" t="n">
        <v>46429</v>
      </c>
      <c r="F19" s="2" t="n">
        <v>16</v>
      </c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21" t="n"/>
      <c r="T19" s="21" t="n"/>
      <c r="U19" s="21" t="n"/>
      <c r="V19" s="21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>
      <c r="A20" s="2" t="inlineStr">
        <is>
          <t>2.9</t>
        </is>
      </c>
      <c r="B20" s="14" t="inlineStr">
        <is>
          <t>Tài liệu và bàn giao</t>
        </is>
      </c>
      <c r="C20" s="2" t="inlineStr">
        <is>
          <t>MVP</t>
        </is>
      </c>
      <c r="D20" s="15" t="n">
        <v>46360</v>
      </c>
      <c r="E20" s="15" t="n">
        <v>46381</v>
      </c>
      <c r="F20" s="2" t="n">
        <v>16</v>
      </c>
      <c r="G20" s="13" t="n"/>
      <c r="H20" s="13" t="n"/>
      <c r="I20" s="13" t="n"/>
      <c r="J20" s="13" t="n"/>
      <c r="K20" s="13" t="n"/>
      <c r="L20" s="21" t="n"/>
      <c r="M20" s="21" t="n"/>
      <c r="N20" s="21" t="n"/>
      <c r="O20" s="21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>
      <c r="A21" s="17" t="inlineStr">
        <is>
          <t>M3</t>
        </is>
      </c>
      <c r="B21" s="17" t="inlineStr">
        <is>
          <t>Nghiệm thu MVP (40%)</t>
        </is>
      </c>
      <c r="C21" s="17" t="inlineStr">
        <is>
          <t>MVP</t>
        </is>
      </c>
      <c r="D21" s="18" t="n">
        <v>46441</v>
      </c>
      <c r="E21" s="18" t="n">
        <v>46441</v>
      </c>
      <c r="F21" s="17" t="n">
        <v>0</v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9" t="inlineStr">
        <is>
          <t>◆</t>
        </is>
      </c>
      <c r="Y21" s="13" t="n"/>
      <c r="Z21" s="13" t="n"/>
      <c r="AA21" s="13" t="n"/>
      <c r="AB21" s="13" t="n"/>
      <c r="AC21" s="13" t="n"/>
      <c r="AD21" s="13" t="n"/>
    </row>
    <row r="22">
      <c r="A22" s="3" t="inlineStr"/>
      <c r="B22" s="3" t="inlineStr">
        <is>
          <t>Production</t>
        </is>
      </c>
      <c r="C22" s="3" t="inlineStr">
        <is>
          <t>Production</t>
        </is>
      </c>
      <c r="D22" s="11" t="n">
        <v>46442</v>
      </c>
      <c r="E22" s="11" t="n">
        <v>46486</v>
      </c>
      <c r="F22" s="3" t="n">
        <v>33</v>
      </c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22" t="n"/>
      <c r="Y22" s="22" t="n"/>
      <c r="Z22" s="22" t="n"/>
      <c r="AA22" s="22" t="n"/>
      <c r="AB22" s="22" t="n"/>
      <c r="AC22" s="22" t="n"/>
      <c r="AD22" s="22" t="n"/>
    </row>
    <row r="23">
      <c r="A23" s="2" t="inlineStr">
        <is>
          <t>3.1</t>
        </is>
      </c>
      <c r="B23" s="14" t="inlineStr">
        <is>
          <t>Quản lý triển khai – đợt 1</t>
        </is>
      </c>
      <c r="C23" s="2" t="inlineStr">
        <is>
          <t>Production</t>
        </is>
      </c>
      <c r="D23" s="15" t="n">
        <v>46442</v>
      </c>
      <c r="E23" s="15" t="n">
        <v>46450</v>
      </c>
      <c r="F23" s="2" t="n">
        <v>7</v>
      </c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23" t="n"/>
      <c r="Y23" s="23" t="n"/>
      <c r="Z23" s="13" t="n"/>
      <c r="AA23" s="13" t="n"/>
      <c r="AB23" s="13" t="n"/>
      <c r="AC23" s="13" t="n"/>
      <c r="AD23" s="13" t="n"/>
    </row>
    <row r="24">
      <c r="A24" s="2" t="inlineStr">
        <is>
          <t>3.2</t>
        </is>
      </c>
      <c r="B24" s="14" t="inlineStr">
        <is>
          <t>Quản lý triển khai – đợt 2</t>
        </is>
      </c>
      <c r="C24" s="2" t="inlineStr">
        <is>
          <t>Production</t>
        </is>
      </c>
      <c r="D24" s="15" t="n">
        <v>46442</v>
      </c>
      <c r="E24" s="15" t="n">
        <v>46450</v>
      </c>
      <c r="F24" s="2" t="n">
        <v>7</v>
      </c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23" t="n"/>
      <c r="Y24" s="23" t="n"/>
      <c r="Z24" s="13" t="n"/>
      <c r="AA24" s="13" t="n"/>
      <c r="AB24" s="13" t="n"/>
      <c r="AC24" s="13" t="n"/>
      <c r="AD24" s="13" t="n"/>
    </row>
    <row r="25">
      <c r="A25" s="2" t="inlineStr">
        <is>
          <t>3.3</t>
        </is>
      </c>
      <c r="B25" s="14" t="inlineStr">
        <is>
          <t>Hardening &amp; bảo mật – đợt 1</t>
        </is>
      </c>
      <c r="C25" s="2" t="inlineStr">
        <is>
          <t>Production</t>
        </is>
      </c>
      <c r="D25" s="15" t="n">
        <v>46451</v>
      </c>
      <c r="E25" s="15" t="n">
        <v>46461</v>
      </c>
      <c r="F25" s="2" t="n">
        <v>7</v>
      </c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23" t="n"/>
      <c r="Z25" s="23" t="n"/>
      <c r="AA25" s="23" t="n"/>
      <c r="AB25" s="13" t="n"/>
      <c r="AC25" s="13" t="n"/>
      <c r="AD25" s="13" t="n"/>
    </row>
    <row r="26">
      <c r="A26" s="2" t="inlineStr">
        <is>
          <t>3.4</t>
        </is>
      </c>
      <c r="B26" s="14" t="inlineStr">
        <is>
          <t>Hardening &amp; bảo mật – đợt 2</t>
        </is>
      </c>
      <c r="C26" s="2" t="inlineStr">
        <is>
          <t>Production</t>
        </is>
      </c>
      <c r="D26" s="15" t="n">
        <v>46451</v>
      </c>
      <c r="E26" s="15" t="n">
        <v>46461</v>
      </c>
      <c r="F26" s="2" t="n">
        <v>7</v>
      </c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23" t="n"/>
      <c r="Z26" s="23" t="n"/>
      <c r="AA26" s="23" t="n"/>
      <c r="AB26" s="13" t="n"/>
      <c r="AC26" s="13" t="n"/>
      <c r="AD26" s="13" t="n"/>
    </row>
    <row r="27">
      <c r="A27" s="2" t="inlineStr">
        <is>
          <t>3.5</t>
        </is>
      </c>
      <c r="B27" s="14" t="inlineStr">
        <is>
          <t>Mở rộng Vector index – đợt 1</t>
        </is>
      </c>
      <c r="C27" s="2" t="inlineStr">
        <is>
          <t>Production</t>
        </is>
      </c>
      <c r="D27" s="15" t="n">
        <v>46451</v>
      </c>
      <c r="E27" s="15" t="n">
        <v>46461</v>
      </c>
      <c r="F27" s="2" t="n">
        <v>7</v>
      </c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23" t="n"/>
      <c r="Z27" s="23" t="n"/>
      <c r="AA27" s="23" t="n"/>
      <c r="AB27" s="13" t="n"/>
      <c r="AC27" s="13" t="n"/>
      <c r="AD27" s="13" t="n"/>
    </row>
    <row r="28">
      <c r="A28" s="2" t="inlineStr">
        <is>
          <t>3.6</t>
        </is>
      </c>
      <c r="B28" s="14" t="inlineStr">
        <is>
          <t>Mở rộng Vector index – đợt 2</t>
        </is>
      </c>
      <c r="C28" s="2" t="inlineStr">
        <is>
          <t>Production</t>
        </is>
      </c>
      <c r="D28" s="15" t="n">
        <v>46451</v>
      </c>
      <c r="E28" s="15" t="n">
        <v>46461</v>
      </c>
      <c r="F28" s="2" t="n">
        <v>7</v>
      </c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23" t="n"/>
      <c r="Z28" s="23" t="n"/>
      <c r="AA28" s="23" t="n"/>
      <c r="AB28" s="13" t="n"/>
      <c r="AC28" s="13" t="n"/>
      <c r="AD28" s="13" t="n"/>
    </row>
    <row r="29">
      <c r="A29" s="2" t="inlineStr">
        <is>
          <t>3.7</t>
        </is>
      </c>
      <c r="B29" s="14" t="inlineStr">
        <is>
          <t>Giám sát &amp; vận hành – đợt 1</t>
        </is>
      </c>
      <c r="C29" s="2" t="inlineStr">
        <is>
          <t>Production</t>
        </is>
      </c>
      <c r="D29" s="15" t="n">
        <v>46451</v>
      </c>
      <c r="E29" s="15" t="n">
        <v>46461</v>
      </c>
      <c r="F29" s="2" t="n">
        <v>7</v>
      </c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23" t="n"/>
      <c r="Z29" s="23" t="n"/>
      <c r="AA29" s="23" t="n"/>
      <c r="AB29" s="13" t="n"/>
      <c r="AC29" s="13" t="n"/>
      <c r="AD29" s="13" t="n"/>
    </row>
    <row r="30">
      <c r="A30" s="2" t="inlineStr">
        <is>
          <t>3.8</t>
        </is>
      </c>
      <c r="B30" s="14" t="inlineStr">
        <is>
          <t>Giám sát &amp; vận hành – đợt 2</t>
        </is>
      </c>
      <c r="C30" s="2" t="inlineStr">
        <is>
          <t>Production</t>
        </is>
      </c>
      <c r="D30" s="15" t="n">
        <v>46451</v>
      </c>
      <c r="E30" s="15" t="n">
        <v>46461</v>
      </c>
      <c r="F30" s="2" t="n">
        <v>7</v>
      </c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23" t="n"/>
      <c r="Z30" s="23" t="n"/>
      <c r="AA30" s="23" t="n"/>
      <c r="AB30" s="13" t="n"/>
      <c r="AC30" s="13" t="n"/>
      <c r="AD30" s="13" t="n"/>
    </row>
    <row r="31">
      <c r="A31" s="2" t="inlineStr">
        <is>
          <t>3.9</t>
        </is>
      </c>
      <c r="B31" s="14" t="inlineStr">
        <is>
          <t>UAT và nghiệm thu – đợt 1</t>
        </is>
      </c>
      <c r="C31" s="2" t="inlineStr">
        <is>
          <t>Production</t>
        </is>
      </c>
      <c r="D31" s="15" t="n">
        <v>46462</v>
      </c>
      <c r="E31" s="15" t="n">
        <v>46469</v>
      </c>
      <c r="F31" s="2" t="n">
        <v>6</v>
      </c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23" t="n"/>
      <c r="AB31" s="23" t="n"/>
      <c r="AC31" s="13" t="n"/>
      <c r="AD31" s="13" t="n"/>
    </row>
    <row r="32">
      <c r="A32" s="2" t="inlineStr">
        <is>
          <t>3.10</t>
        </is>
      </c>
      <c r="B32" s="14" t="inlineStr">
        <is>
          <t>UAT và nghiệm thu – đợt 2</t>
        </is>
      </c>
      <c r="C32" s="2" t="inlineStr">
        <is>
          <t>Production</t>
        </is>
      </c>
      <c r="D32" s="15" t="n">
        <v>46462</v>
      </c>
      <c r="E32" s="15" t="n">
        <v>46469</v>
      </c>
      <c r="F32" s="2" t="n">
        <v>6</v>
      </c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23" t="n"/>
      <c r="AB32" s="23" t="n"/>
      <c r="AC32" s="13" t="n"/>
      <c r="AD32" s="13" t="n"/>
    </row>
    <row r="33">
      <c r="A33" s="2" t="inlineStr">
        <is>
          <t>3.11</t>
        </is>
      </c>
      <c r="B33" s="14" t="inlineStr">
        <is>
          <t>Đào tạo &amp; bàn giao – đợt 1</t>
        </is>
      </c>
      <c r="C33" s="2" t="inlineStr">
        <is>
          <t>Production</t>
        </is>
      </c>
      <c r="D33" s="15" t="n">
        <v>46442</v>
      </c>
      <c r="E33" s="15" t="n">
        <v>46449</v>
      </c>
      <c r="F33" s="2" t="n">
        <v>6</v>
      </c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23" t="n"/>
      <c r="Y33" s="23" t="n"/>
      <c r="Z33" s="13" t="n"/>
      <c r="AA33" s="13" t="n"/>
      <c r="AB33" s="13" t="n"/>
      <c r="AC33" s="13" t="n"/>
      <c r="AD33" s="13" t="n"/>
    </row>
    <row r="34">
      <c r="A34" s="2" t="inlineStr">
        <is>
          <t>3.12</t>
        </is>
      </c>
      <c r="B34" s="14" t="inlineStr">
        <is>
          <t>Đào tạo &amp; bàn giao – đợt 2</t>
        </is>
      </c>
      <c r="C34" s="2" t="inlineStr">
        <is>
          <t>Production</t>
        </is>
      </c>
      <c r="D34" s="15" t="n">
        <v>46442</v>
      </c>
      <c r="E34" s="15" t="n">
        <v>46449</v>
      </c>
      <c r="F34" s="2" t="n">
        <v>6</v>
      </c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23" t="n"/>
      <c r="Y34" s="23" t="n"/>
      <c r="Z34" s="13" t="n"/>
      <c r="AA34" s="13" t="n"/>
      <c r="AB34" s="13" t="n"/>
      <c r="AC34" s="13" t="n"/>
      <c r="AD34" s="13" t="n"/>
    </row>
    <row r="35">
      <c r="A35" s="17" t="inlineStr">
        <is>
          <t>M4</t>
        </is>
      </c>
      <c r="B35" s="17" t="inlineStr">
        <is>
          <t>Go-live (30%)</t>
        </is>
      </c>
      <c r="C35" s="17" t="inlineStr">
        <is>
          <t>Production</t>
        </is>
      </c>
      <c r="D35" s="18" t="n">
        <v>46486</v>
      </c>
      <c r="E35" s="18" t="n">
        <v>46486</v>
      </c>
      <c r="F35" s="17" t="n">
        <v>0</v>
      </c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9" t="inlineStr">
        <is>
          <t>◆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2026-10-06T15:48:15Z</dcterms:created>
  <dcterms:modified xmlns:dcterms="http://purl.org/dc/terms/" xmlns:xsi="http://www.w3.org/2001/XMLSchema-instance" xsi:type="dcterms:W3CDTF">2026-10-06T15:48:15Z</dcterms:modified>
</cp:coreProperties>
</file>