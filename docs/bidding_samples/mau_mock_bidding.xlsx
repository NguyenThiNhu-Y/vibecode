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Q&amp;A" sheetId="1" state="visible" r:id="rId1"/>
    <sheet xmlns:r="http://schemas.openxmlformats.org/officeDocument/2006/relationships" name="WBS" sheetId="2" state="visible" r:id="rId2"/>
    <sheet xmlns:r="http://schemas.openxmlformats.org/officeDocument/2006/relationships" name="Summary" sheetId="3" state="visible" r:id="rId3"/>
    <sheet xmlns:r="http://schemas.openxmlformats.org/officeDocument/2006/relationships" name="Master Schedule" sheetId="4" state="visible" r:id="rId4"/>
  </sheets>
  <definedNames>
    <definedName name="_xlnm._FilterDatabase" localSheetId="0" hidden="1">'Q&amp;A'!$A$1:$H$4</definedName>
    <definedName name="_xlnm._FilterDatabase" localSheetId="1" hidden="1">'WBS'!$A$1:$J$43</definedName>
    <definedName name="_xlnm._FilterDatabase" localSheetId="2" hidden="1">'Summary'!$A$1:$J$5</definedName>
    <definedName name="_xlnm._FilterDatabase" localSheetId="3" hidden="1">'Master Schedule'!$A$1:$F$35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d/mm/yyyy"/>
  </numFmts>
  <fonts count="4">
    <font>
      <name val="Calibri"/>
      <family val="2"/>
      <color theme="1"/>
      <sz val="11"/>
      <scheme val="minor"/>
    </font>
    <font>
      <b val="1"/>
    </font>
    <font/>
    <font>
      <b val="1"/>
      <color rgb="00B5420E"/>
    </font>
  </fonts>
  <fills count="10">
    <fill>
      <patternFill/>
    </fill>
    <fill>
      <patternFill patternType="gray125"/>
    </fill>
    <fill>
      <patternFill patternType="solid">
        <fgColor rgb="00D9D9D9"/>
      </patternFill>
    </fill>
    <fill>
      <patternFill patternType="solid">
        <fgColor rgb="00F2F2F2"/>
      </patternFill>
    </fill>
    <fill>
      <patternFill patternType="solid">
        <fgColor rgb="00FDE3D0"/>
      </patternFill>
    </fill>
    <fill>
      <patternFill patternType="solid">
        <fgColor rgb="00F9A66C"/>
      </patternFill>
    </fill>
    <fill>
      <patternFill patternType="solid">
        <fgColor rgb="00FBD0B5"/>
      </patternFill>
    </fill>
    <fill>
      <patternFill patternType="solid">
        <fgColor rgb="00F26F21"/>
      </patternFill>
    </fill>
    <fill>
      <patternFill patternType="solid">
        <fgColor rgb="00EBC3B0"/>
      </patternFill>
    </fill>
    <fill>
      <patternFill patternType="solid">
        <fgColor rgb="00B5420E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  <xf numFmtId="0" fontId="1" fillId="0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 indent="1"/>
    </xf>
    <xf numFmtId="0" fontId="0" fillId="3" borderId="0" pivotButton="0" quotePrefix="0" xfId="0"/>
    <xf numFmtId="0" fontId="0" fillId="3" borderId="1" applyAlignment="1" pivotButton="0" quotePrefix="0" xfId="0">
      <alignment vertical="top" wrapText="1"/>
    </xf>
    <xf numFmtId="0" fontId="1" fillId="3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1" fillId="0" borderId="0" pivotButton="0" quotePrefix="0" xfId="0"/>
    <xf numFmtId="0" fontId="0" fillId="0" borderId="0" applyAlignment="1" pivotButton="0" quotePrefix="0" xfId="0">
      <alignment vertical="top" wrapText="1"/>
    </xf>
    <xf numFmtId="165" fontId="1" fillId="0" borderId="1" applyAlignment="1" pivotButton="0" quotePrefix="0" xfId="0">
      <alignment vertical="top" wrapText="1"/>
    </xf>
    <xf numFmtId="0" fontId="0" fillId="4" borderId="1" pivotButton="0" quotePrefix="0" xfId="0"/>
    <xf numFmtId="0" fontId="0" fillId="0" borderId="1" pivotButton="0" quotePrefix="0" xfId="0"/>
    <xf numFmtId="0" fontId="0" fillId="0" borderId="1" applyAlignment="1" pivotButton="0" quotePrefix="0" xfId="0">
      <alignment vertical="top" wrapText="1" indent="1"/>
    </xf>
    <xf numFmtId="165" fontId="0" fillId="0" borderId="1" applyAlignment="1" pivotButton="0" quotePrefix="0" xfId="0">
      <alignment vertical="top" wrapText="1"/>
    </xf>
    <xf numFmtId="0" fontId="0" fillId="5" borderId="1" pivotButton="0" quotePrefix="0" xfId="0"/>
    <xf numFmtId="0" fontId="3" fillId="0" borderId="1" applyAlignment="1" pivotButton="0" quotePrefix="0" xfId="0">
      <alignment vertical="top" wrapText="1"/>
    </xf>
    <xf numFmtId="165" fontId="3" fillId="0" borderId="1" applyAlignment="1" pivotButton="0" quotePrefix="0" xfId="0">
      <alignment vertical="top" wrapText="1"/>
    </xf>
    <xf numFmtId="0" fontId="3" fillId="0" borderId="1" applyAlignment="1" pivotButton="0" quotePrefix="0" xfId="0">
      <alignment horizontal="center"/>
    </xf>
    <xf numFmtId="0" fontId="0" fillId="6" borderId="1" pivotButton="0" quotePrefix="0" xfId="0"/>
    <xf numFmtId="0" fontId="0" fillId="7" borderId="1" pivotButton="0" quotePrefix="0" xfId="0"/>
    <xf numFmtId="0" fontId="0" fillId="8" borderId="1" pivotButton="0" quotePrefix="0" xfId="0"/>
    <xf numFmtId="0" fontId="0" fillId="9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13" customWidth="1" min="2" max="2"/>
    <col width="55" customWidth="1" min="3" max="3"/>
    <col width="45" customWidth="1" min="4" max="4"/>
    <col width="10" customWidth="1" min="5" max="5"/>
    <col width="10" customWidth="1" min="6" max="6"/>
    <col width="45" customWidth="1" min="7" max="7"/>
    <col width="8" customWidth="1" min="8" max="8"/>
  </cols>
  <sheetData>
    <row r="1">
      <c r="A1" s="1" t="inlineStr">
        <is>
          <t>No</t>
        </is>
      </c>
      <c r="B1" s="1" t="inlineStr">
        <is>
          <t>Category</t>
        </is>
      </c>
      <c r="C1" s="1" t="inlineStr">
        <is>
          <t>Question</t>
        </is>
      </c>
      <c r="D1" s="1" t="inlineStr">
        <is>
          <t>Why we ask</t>
        </is>
      </c>
      <c r="E1" s="1" t="inlineStr">
        <is>
          <t>Priority</t>
        </is>
      </c>
      <c r="F1" s="1" t="inlineStr">
        <is>
          <t>Blocking</t>
        </is>
      </c>
      <c r="G1" s="1" t="inlineStr">
        <is>
          <t>Customer answer</t>
        </is>
      </c>
      <c r="H1" s="1" t="inlineStr">
        <is>
          <t>Status</t>
        </is>
      </c>
    </row>
    <row r="2">
      <c r="A2" s="2" t="n">
        <v>1</v>
      </c>
      <c r="B2" s="2" t="inlineStr">
        <is>
          <t>data</t>
        </is>
      </c>
      <c r="C2" s="2" t="inlineStr">
        <is>
          <t>Các văn bản quy định được cập nhật bao lâu một lần và ai là người cập nhật?</t>
        </is>
      </c>
      <c r="D2" s="2" t="inlineStr">
        <is>
          <t>Quyết định cơ chế đồng bộ và đánh chỉ mục lại tài liệu.</t>
        </is>
      </c>
      <c r="E2" s="2" t="inlineStr">
        <is>
          <t>Mid</t>
        </is>
      </c>
      <c r="F2" s="2" t="inlineStr">
        <is>
          <t>No</t>
        </is>
      </c>
      <c r="G2" s="2" t="inlineStr"/>
      <c r="H2" s="2" t="inlineStr">
        <is>
          <t>Open</t>
        </is>
      </c>
    </row>
    <row r="3">
      <c r="A3" s="2" t="n">
        <v>2</v>
      </c>
      <c r="B3" s="2" t="inlineStr">
        <is>
          <t>accuracy</t>
        </is>
      </c>
      <c r="C3" s="2" t="inlineStr">
        <is>
          <t>Câu trả lời có bắt buộc kèm trích dẫn điều khoản và số trang không?</t>
        </is>
      </c>
      <c r="D3" s="2" t="inlineStr">
        <is>
          <t>Ảnh hưởng thiết kế phần hiển thị nguồn và cách chia đoạn tài liệu.</t>
        </is>
      </c>
      <c r="E3" s="2" t="inlineStr">
        <is>
          <t>Mid</t>
        </is>
      </c>
      <c r="F3" s="2" t="inlineStr">
        <is>
          <t>No</t>
        </is>
      </c>
      <c r="G3" s="2" t="inlineStr"/>
      <c r="H3" s="2" t="inlineStr">
        <is>
          <t>Open</t>
        </is>
      </c>
    </row>
    <row r="4">
      <c r="A4" s="2" t="n">
        <v>3</v>
      </c>
      <c r="B4" s="2" t="inlineStr">
        <is>
          <t>integration</t>
        </is>
      </c>
      <c r="C4" s="2" t="inlineStr">
        <is>
          <t>Công ty đang dùng hệ thống đăng nhập tập trung (SSO) nào?</t>
        </is>
      </c>
      <c r="D4" s="2" t="inlineStr">
        <is>
          <t>Xác định effort tích hợp phân quyền theo phòng ban.</t>
        </is>
      </c>
      <c r="E4" s="2" t="inlineStr">
        <is>
          <t>Mid</t>
        </is>
      </c>
      <c r="F4" s="2" t="inlineStr">
        <is>
          <t>No</t>
        </is>
      </c>
      <c r="G4" s="2" t="inlineStr"/>
      <c r="H4" s="2" t="inlineStr">
        <is>
          <t>Open</t>
        </is>
      </c>
    </row>
  </sheetData>
  <autoFilter ref="A1:H4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4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2" customWidth="1" min="2" max="2"/>
    <col width="44" customWidth="1" min="3" max="3"/>
    <col width="40" customWidth="1" min="4" max="4"/>
    <col width="7" customWidth="1" min="5" max="5"/>
    <col width="10" customWidth="1" min="6" max="6"/>
    <col width="15" customWidth="1" min="7" max="7"/>
    <col width="25" customWidth="1" min="8" max="8"/>
    <col width="36" customWidth="1" min="9" max="9"/>
    <col width="30" customWidth="1" min="10" max="10"/>
  </cols>
  <sheetData>
    <row r="1">
      <c r="A1" s="1" t="inlineStr">
        <is>
          <t>ID</t>
        </is>
      </c>
      <c r="B1" s="1" t="inlineStr">
        <is>
          <t>Phase</t>
        </is>
      </c>
      <c r="C1" s="1" t="inlineStr">
        <is>
          <t>Task</t>
        </is>
      </c>
      <c r="D1" s="1" t="inlineStr">
        <is>
          <t>Sub-task</t>
        </is>
      </c>
      <c r="E1" s="1" t="inlineStr">
        <is>
          <t>Type</t>
        </is>
      </c>
      <c r="F1" s="1" t="inlineStr">
        <is>
          <t>Priority</t>
        </is>
      </c>
      <c r="G1" s="1" t="inlineStr">
        <is>
          <t>Estimate (MD)</t>
        </is>
      </c>
      <c r="H1" s="1" t="inlineStr">
        <is>
          <t>Depends on</t>
        </is>
      </c>
      <c r="I1" s="1" t="inlineStr">
        <is>
          <t>Deliverable</t>
        </is>
      </c>
      <c r="J1" s="1" t="inlineStr">
        <is>
          <t>Note</t>
        </is>
      </c>
    </row>
    <row r="2">
      <c r="A2" s="2" t="inlineStr">
        <is>
          <t>1</t>
        </is>
      </c>
      <c r="B2" s="2" t="inlineStr">
        <is>
          <t>PoC</t>
        </is>
      </c>
      <c r="C2" s="3" t="inlineStr">
        <is>
          <t>Giai đoạn PoC</t>
        </is>
      </c>
      <c r="G2" s="3">
        <f>SUM(G3,G4,G5,G6,G7,G8)</f>
        <v/>
      </c>
    </row>
    <row r="3">
      <c r="A3" s="2" t="inlineStr">
        <is>
          <t>1.1</t>
        </is>
      </c>
      <c r="B3" s="2" t="inlineStr">
        <is>
          <t>PoC</t>
        </is>
      </c>
      <c r="C3" s="4" t="inlineStr">
        <is>
          <t>Kick-off và quản lý PoC</t>
        </is>
      </c>
      <c r="E3" s="2" t="inlineStr">
        <is>
          <t>PM</t>
        </is>
      </c>
      <c r="F3" s="2" t="inlineStr">
        <is>
          <t>Mid</t>
        </is>
      </c>
      <c r="G3" s="2" t="n">
        <v>2</v>
      </c>
      <c r="I3" s="2" t="inlineStr">
        <is>
          <t>Kết quả: kick-off và quản lý poc</t>
        </is>
      </c>
    </row>
    <row r="4">
      <c r="A4" s="2" t="inlineStr">
        <is>
          <t>1.2</t>
        </is>
      </c>
      <c r="B4" s="2" t="inlineStr">
        <is>
          <t>PoC</t>
        </is>
      </c>
      <c r="C4" s="4" t="inlineStr">
        <is>
          <t>Khảo sát dữ liệu &amp; yêu cầu</t>
        </is>
      </c>
      <c r="E4" s="2" t="inlineStr">
        <is>
          <t>BA</t>
        </is>
      </c>
      <c r="F4" s="2" t="inlineStr">
        <is>
          <t>Mid</t>
        </is>
      </c>
      <c r="G4" s="2" t="n">
        <v>2</v>
      </c>
      <c r="I4" s="2" t="inlineStr">
        <is>
          <t>Kết quả: khảo sát dữ liệu &amp; yêu cầu</t>
        </is>
      </c>
    </row>
    <row r="5">
      <c r="A5" s="2" t="inlineStr">
        <is>
          <t>1.3</t>
        </is>
      </c>
      <c r="B5" s="2" t="inlineStr">
        <is>
          <t>PoC</t>
        </is>
      </c>
      <c r="C5" s="4" t="inlineStr">
        <is>
          <t>Chuẩn bị dữ liệu mẫu</t>
        </is>
      </c>
      <c r="E5" s="2" t="inlineStr">
        <is>
          <t>DATA</t>
        </is>
      </c>
      <c r="F5" s="2" t="inlineStr">
        <is>
          <t>Mid</t>
        </is>
      </c>
      <c r="G5" s="2" t="n">
        <v>2</v>
      </c>
      <c r="H5" s="2" t="inlineStr">
        <is>
          <t>1.2</t>
        </is>
      </c>
      <c r="I5" s="2" t="inlineStr">
        <is>
          <t>Kết quả: chuẩn bị dữ liệu mẫu</t>
        </is>
      </c>
      <c r="J5" s="2" t="inlineStr">
        <is>
          <t>data_prep</t>
        </is>
      </c>
    </row>
    <row r="6">
      <c r="A6" s="2" t="inlineStr">
        <is>
          <t>1.4</t>
        </is>
      </c>
      <c r="B6" s="2" t="inlineStr">
        <is>
          <t>PoC</t>
        </is>
      </c>
      <c r="C6" s="4" t="inlineStr">
        <is>
          <t>Dựng prototype Chat API</t>
        </is>
      </c>
      <c r="E6" s="2" t="inlineStr">
        <is>
          <t>AI</t>
        </is>
      </c>
      <c r="F6" s="2" t="inlineStr">
        <is>
          <t>High</t>
        </is>
      </c>
      <c r="G6" s="2" t="n">
        <v>2</v>
      </c>
      <c r="H6" s="2" t="inlineStr">
        <is>
          <t>1.2</t>
        </is>
      </c>
      <c r="I6" s="2" t="inlineStr">
        <is>
          <t>Kết quả: dựng prototype chat api</t>
        </is>
      </c>
    </row>
    <row r="7">
      <c r="A7" s="2" t="inlineStr">
        <is>
          <t>1.5</t>
        </is>
      </c>
      <c r="B7" s="2" t="inlineStr">
        <is>
          <t>PoC</t>
        </is>
      </c>
      <c r="C7" s="4" t="inlineStr">
        <is>
          <t>Đánh giá kết quả PoC</t>
        </is>
      </c>
      <c r="E7" s="2" t="inlineStr">
        <is>
          <t>AI</t>
        </is>
      </c>
      <c r="F7" s="2" t="inlineStr">
        <is>
          <t>High</t>
        </is>
      </c>
      <c r="G7" s="2" t="n">
        <v>2</v>
      </c>
      <c r="H7" s="2" t="inlineStr">
        <is>
          <t>1.2</t>
        </is>
      </c>
      <c r="I7" s="2" t="inlineStr">
        <is>
          <t>Kết quả: đánh giá kết quả poc</t>
        </is>
      </c>
      <c r="J7" s="2" t="inlineStr">
        <is>
          <t>evaluation</t>
        </is>
      </c>
    </row>
    <row r="8">
      <c r="A8" s="2" t="inlineStr">
        <is>
          <t>1.6</t>
        </is>
      </c>
      <c r="B8" s="2" t="inlineStr">
        <is>
          <t>PoC</t>
        </is>
      </c>
      <c r="C8" s="4" t="inlineStr">
        <is>
          <t>Test và nghiệm thu PoC</t>
        </is>
      </c>
      <c r="E8" s="2" t="inlineStr">
        <is>
          <t>QA</t>
        </is>
      </c>
      <c r="F8" s="2" t="inlineStr">
        <is>
          <t>High</t>
        </is>
      </c>
      <c r="G8" s="2" t="n">
        <v>2</v>
      </c>
      <c r="H8" s="2" t="inlineStr">
        <is>
          <t>1.3, 1.4, 1.5</t>
        </is>
      </c>
      <c r="I8" s="2" t="inlineStr">
        <is>
          <t>Kết quả: test và nghiệm thu poc</t>
        </is>
      </c>
    </row>
    <row r="9">
      <c r="A9" s="5" t="n"/>
      <c r="B9" s="6" t="inlineStr">
        <is>
          <t>PoC</t>
        </is>
      </c>
      <c r="C9" s="7" t="inlineStr">
        <is>
          <t>Total PoC</t>
        </is>
      </c>
      <c r="D9" s="5" t="n"/>
      <c r="E9" s="5" t="n"/>
      <c r="F9" s="5" t="n"/>
      <c r="G9" s="7">
        <f>SUM(G2)</f>
        <v/>
      </c>
      <c r="H9" s="5" t="n"/>
      <c r="I9" s="5" t="n"/>
      <c r="J9" s="5" t="n"/>
    </row>
    <row r="10">
      <c r="A10" s="2" t="inlineStr">
        <is>
          <t>2</t>
        </is>
      </c>
      <c r="B10" s="2" t="inlineStr">
        <is>
          <t>MVP</t>
        </is>
      </c>
      <c r="C10" s="3" t="inlineStr">
        <is>
          <t>Giai đoạn MVP</t>
        </is>
      </c>
      <c r="G10" s="3">
        <f>SUM(G11,G14,G17,G20,G23,G24,G25,G26,G27)</f>
        <v/>
      </c>
    </row>
    <row r="11">
      <c r="A11" s="2" t="inlineStr">
        <is>
          <t>2.1</t>
        </is>
      </c>
      <c r="B11" s="2" t="inlineStr">
        <is>
          <t>MVP</t>
        </is>
      </c>
      <c r="C11" s="4" t="inlineStr">
        <is>
          <t>Quản lý dự án MVP</t>
        </is>
      </c>
      <c r="G11" s="8">
        <f>SUM(G12,G13)</f>
        <v/>
      </c>
      <c r="H11" s="2" t="inlineStr">
        <is>
          <t>1.6</t>
        </is>
      </c>
    </row>
    <row r="12">
      <c r="A12" s="2" t="inlineStr">
        <is>
          <t>2.1.1</t>
        </is>
      </c>
      <c r="B12" s="2" t="inlineStr">
        <is>
          <t>MVP</t>
        </is>
      </c>
      <c r="D12" s="8" t="inlineStr">
        <is>
          <t>Quản lý dự án MVP – phần 1</t>
        </is>
      </c>
      <c r="E12" s="2" t="inlineStr">
        <is>
          <t>PM</t>
        </is>
      </c>
      <c r="F12" s="2" t="inlineStr">
        <is>
          <t>Mid</t>
        </is>
      </c>
      <c r="G12" s="2" t="n">
        <v>3</v>
      </c>
      <c r="I12" s="2" t="inlineStr">
        <is>
          <t>Kết quả: quản lý dự án mvp</t>
        </is>
      </c>
    </row>
    <row r="13">
      <c r="A13" s="2" t="inlineStr">
        <is>
          <t>2.1.2</t>
        </is>
      </c>
      <c r="B13" s="2" t="inlineStr">
        <is>
          <t>MVP</t>
        </is>
      </c>
      <c r="D13" s="8" t="inlineStr">
        <is>
          <t>Quản lý dự án MVP – phần 2</t>
        </is>
      </c>
      <c r="E13" s="2" t="inlineStr">
        <is>
          <t>PM</t>
        </is>
      </c>
      <c r="F13" s="2" t="inlineStr">
        <is>
          <t>Mid</t>
        </is>
      </c>
      <c r="G13" s="2" t="n">
        <v>2</v>
      </c>
      <c r="I13" s="2" t="inlineStr">
        <is>
          <t>Kết quả: quản lý dự án mvp</t>
        </is>
      </c>
    </row>
    <row r="14">
      <c r="A14" s="2" t="inlineStr">
        <is>
          <t>2.2</t>
        </is>
      </c>
      <c r="B14" s="2" t="inlineStr">
        <is>
          <t>MVP</t>
        </is>
      </c>
      <c r="C14" s="4" t="inlineStr">
        <is>
          <t>Phân tích &amp; thiết kế chi tiết</t>
        </is>
      </c>
      <c r="G14" s="8">
        <f>SUM(G15,G16)</f>
        <v/>
      </c>
    </row>
    <row r="15">
      <c r="A15" s="2" t="inlineStr">
        <is>
          <t>2.2.1</t>
        </is>
      </c>
      <c r="B15" s="2" t="inlineStr">
        <is>
          <t>MVP</t>
        </is>
      </c>
      <c r="D15" s="8" t="inlineStr">
        <is>
          <t>Phân tích &amp; thiết kế chi tiết – phần 1</t>
        </is>
      </c>
      <c r="E15" s="2" t="inlineStr">
        <is>
          <t>BA</t>
        </is>
      </c>
      <c r="F15" s="2" t="inlineStr">
        <is>
          <t>Mid</t>
        </is>
      </c>
      <c r="G15" s="2" t="n">
        <v>3</v>
      </c>
      <c r="I15" s="2" t="inlineStr">
        <is>
          <t>Kết quả: phân tích &amp; thiết kế chi tiết</t>
        </is>
      </c>
    </row>
    <row r="16">
      <c r="A16" s="2" t="inlineStr">
        <is>
          <t>2.2.2</t>
        </is>
      </c>
      <c r="B16" s="2" t="inlineStr">
        <is>
          <t>MVP</t>
        </is>
      </c>
      <c r="D16" s="8" t="inlineStr">
        <is>
          <t>Phân tích &amp; thiết kế chi tiết – phần 2</t>
        </is>
      </c>
      <c r="E16" s="2" t="inlineStr">
        <is>
          <t>BA</t>
        </is>
      </c>
      <c r="F16" s="2" t="inlineStr">
        <is>
          <t>Mid</t>
        </is>
      </c>
      <c r="G16" s="2" t="n">
        <v>2</v>
      </c>
      <c r="I16" s="2" t="inlineStr">
        <is>
          <t>Kết quả: phân tích &amp; thiết kế chi tiết</t>
        </is>
      </c>
    </row>
    <row r="17">
      <c r="A17" s="2" t="inlineStr">
        <is>
          <t>2.3</t>
        </is>
      </c>
      <c r="B17" s="2" t="inlineStr">
        <is>
          <t>MVP</t>
        </is>
      </c>
      <c r="C17" s="4" t="inlineStr">
        <is>
          <t>Chuẩn bị &amp; làm sạch dữ liệu</t>
        </is>
      </c>
      <c r="G17" s="8">
        <f>SUM(G18,G19)</f>
        <v/>
      </c>
      <c r="H17" s="2" t="inlineStr">
        <is>
          <t>2.2</t>
        </is>
      </c>
    </row>
    <row r="18">
      <c r="A18" s="2" t="inlineStr">
        <is>
          <t>2.3.1</t>
        </is>
      </c>
      <c r="B18" s="2" t="inlineStr">
        <is>
          <t>MVP</t>
        </is>
      </c>
      <c r="D18" s="8" t="inlineStr">
        <is>
          <t>Chuẩn bị &amp; làm sạch dữ liệu – phần 1</t>
        </is>
      </c>
      <c r="E18" s="2" t="inlineStr">
        <is>
          <t>DATA</t>
        </is>
      </c>
      <c r="F18" s="2" t="inlineStr">
        <is>
          <t>Mid</t>
        </is>
      </c>
      <c r="G18" s="2" t="n">
        <v>3</v>
      </c>
      <c r="I18" s="2" t="inlineStr">
        <is>
          <t>Kết quả: chuẩn bị &amp; làm sạch dữ liệu</t>
        </is>
      </c>
      <c r="J18" s="2" t="inlineStr">
        <is>
          <t>data_prep</t>
        </is>
      </c>
    </row>
    <row r="19">
      <c r="A19" s="2" t="inlineStr">
        <is>
          <t>2.3.2</t>
        </is>
      </c>
      <c r="B19" s="2" t="inlineStr">
        <is>
          <t>MVP</t>
        </is>
      </c>
      <c r="D19" s="8" t="inlineStr">
        <is>
          <t>Chuẩn bị &amp; làm sạch dữ liệu – phần 2</t>
        </is>
      </c>
      <c r="E19" s="2" t="inlineStr">
        <is>
          <t>DATA</t>
        </is>
      </c>
      <c r="F19" s="2" t="inlineStr">
        <is>
          <t>Mid</t>
        </is>
      </c>
      <c r="G19" s="2" t="n">
        <v>2</v>
      </c>
      <c r="I19" s="2" t="inlineStr">
        <is>
          <t>Kết quả: chuẩn bị &amp; làm sạch dữ liệu</t>
        </is>
      </c>
      <c r="J19" s="2" t="inlineStr">
        <is>
          <t>data_prep</t>
        </is>
      </c>
    </row>
    <row r="20">
      <c r="A20" s="2" t="inlineStr">
        <is>
          <t>2.4</t>
        </is>
      </c>
      <c r="B20" s="2" t="inlineStr">
        <is>
          <t>MVP</t>
        </is>
      </c>
      <c r="C20" s="4" t="inlineStr">
        <is>
          <t>Xây dựng Chat API</t>
        </is>
      </c>
      <c r="G20" s="8">
        <f>SUM(G21,G22)</f>
        <v/>
      </c>
      <c r="H20" s="2" t="inlineStr">
        <is>
          <t>2.2</t>
        </is>
      </c>
    </row>
    <row r="21">
      <c r="A21" s="2" t="inlineStr">
        <is>
          <t>2.4.1</t>
        </is>
      </c>
      <c r="B21" s="2" t="inlineStr">
        <is>
          <t>MVP</t>
        </is>
      </c>
      <c r="D21" s="8" t="inlineStr">
        <is>
          <t>Xây dựng Chat API – phần 1</t>
        </is>
      </c>
      <c r="E21" s="2" t="inlineStr">
        <is>
          <t>AI</t>
        </is>
      </c>
      <c r="F21" s="2" t="inlineStr">
        <is>
          <t>High</t>
        </is>
      </c>
      <c r="G21" s="2" t="n">
        <v>3</v>
      </c>
      <c r="I21" s="2" t="inlineStr">
        <is>
          <t>Kết quả: xây dựng chat api</t>
        </is>
      </c>
    </row>
    <row r="22">
      <c r="A22" s="2" t="inlineStr">
        <is>
          <t>2.4.2</t>
        </is>
      </c>
      <c r="B22" s="2" t="inlineStr">
        <is>
          <t>MVP</t>
        </is>
      </c>
      <c r="D22" s="8" t="inlineStr">
        <is>
          <t>Xây dựng Chat API – phần 2</t>
        </is>
      </c>
      <c r="E22" s="2" t="inlineStr">
        <is>
          <t>AI</t>
        </is>
      </c>
      <c r="F22" s="2" t="inlineStr">
        <is>
          <t>High</t>
        </is>
      </c>
      <c r="G22" s="2" t="n">
        <v>2</v>
      </c>
      <c r="I22" s="2" t="inlineStr">
        <is>
          <t>Kết quả: xây dựng chat api</t>
        </is>
      </c>
    </row>
    <row r="23">
      <c r="A23" s="2" t="inlineStr">
        <is>
          <t>2.5</t>
        </is>
      </c>
      <c r="B23" s="2" t="inlineStr">
        <is>
          <t>MVP</t>
        </is>
      </c>
      <c r="C23" s="4" t="inlineStr">
        <is>
          <t>Xây dựng Web chat</t>
        </is>
      </c>
      <c r="E23" s="2" t="inlineStr">
        <is>
          <t>BE</t>
        </is>
      </c>
      <c r="F23" s="2" t="inlineStr">
        <is>
          <t>Mid</t>
        </is>
      </c>
      <c r="G23" s="2" t="n">
        <v>4</v>
      </c>
      <c r="H23" s="2" t="inlineStr">
        <is>
          <t>2.2</t>
        </is>
      </c>
      <c r="I23" s="2" t="inlineStr">
        <is>
          <t>Kết quả: xây dựng web chat</t>
        </is>
      </c>
      <c r="J23" s="2" t="inlineStr">
        <is>
          <t>integration</t>
        </is>
      </c>
    </row>
    <row r="24">
      <c r="A24" s="2" t="inlineStr">
        <is>
          <t>2.6</t>
        </is>
      </c>
      <c r="B24" s="2" t="inlineStr">
        <is>
          <t>MVP</t>
        </is>
      </c>
      <c r="C24" s="4" t="inlineStr">
        <is>
          <t>Giao diện người dùng</t>
        </is>
      </c>
      <c r="E24" s="2" t="inlineStr">
        <is>
          <t>FE</t>
        </is>
      </c>
      <c r="F24" s="2" t="inlineStr">
        <is>
          <t>Mid</t>
        </is>
      </c>
      <c r="G24" s="2" t="n">
        <v>4</v>
      </c>
      <c r="H24" s="2" t="inlineStr">
        <is>
          <t>2.2</t>
        </is>
      </c>
      <c r="I24" s="2" t="inlineStr">
        <is>
          <t>Kết quả: giao diện người dùng</t>
        </is>
      </c>
    </row>
    <row r="25">
      <c r="A25" s="2" t="inlineStr">
        <is>
          <t>2.7</t>
        </is>
      </c>
      <c r="B25" s="2" t="inlineStr">
        <is>
          <t>MVP</t>
        </is>
      </c>
      <c r="C25" s="4" t="inlineStr">
        <is>
          <t>Bộ đánh giá chất lượng</t>
        </is>
      </c>
      <c r="E25" s="2" t="inlineStr">
        <is>
          <t>AI</t>
        </is>
      </c>
      <c r="F25" s="2" t="inlineStr">
        <is>
          <t>High</t>
        </is>
      </c>
      <c r="G25" s="2" t="n">
        <v>4</v>
      </c>
      <c r="H25" s="2" t="inlineStr">
        <is>
          <t>2.2</t>
        </is>
      </c>
      <c r="I25" s="2" t="inlineStr">
        <is>
          <t>Kết quả: bộ đánh giá chất lượng</t>
        </is>
      </c>
      <c r="J25" s="2" t="inlineStr">
        <is>
          <t>evaluation</t>
        </is>
      </c>
    </row>
    <row r="26">
      <c r="A26" s="2" t="inlineStr">
        <is>
          <t>2.8</t>
        </is>
      </c>
      <c r="B26" s="2" t="inlineStr">
        <is>
          <t>MVP</t>
        </is>
      </c>
      <c r="C26" s="4" t="inlineStr">
        <is>
          <t>Test và nghiệm thu MVP</t>
        </is>
      </c>
      <c r="E26" s="2" t="inlineStr">
        <is>
          <t>QA</t>
        </is>
      </c>
      <c r="F26" s="2" t="inlineStr">
        <is>
          <t>High</t>
        </is>
      </c>
      <c r="G26" s="2" t="n">
        <v>4</v>
      </c>
      <c r="H26" s="2" t="inlineStr">
        <is>
          <t>2.3, 2.4, 2.5, 2.6, 2.7</t>
        </is>
      </c>
      <c r="I26" s="2" t="inlineStr">
        <is>
          <t>Kết quả: test và nghiệm thu mvp</t>
        </is>
      </c>
    </row>
    <row r="27">
      <c r="A27" s="2" t="inlineStr">
        <is>
          <t>2.9</t>
        </is>
      </c>
      <c r="B27" s="2" t="inlineStr">
        <is>
          <t>MVP</t>
        </is>
      </c>
      <c r="C27" s="4" t="inlineStr">
        <is>
          <t>Tài liệu và bàn giao</t>
        </is>
      </c>
      <c r="E27" s="2" t="inlineStr">
        <is>
          <t>BA</t>
        </is>
      </c>
      <c r="F27" s="2" t="inlineStr">
        <is>
          <t>Mid</t>
        </is>
      </c>
      <c r="G27" s="2" t="n">
        <v>4</v>
      </c>
      <c r="I27" s="2" t="inlineStr">
        <is>
          <t>Kết quả: tài liệu và bàn giao</t>
        </is>
      </c>
      <c r="J27" s="2" t="inlineStr">
        <is>
          <t>documentation</t>
        </is>
      </c>
    </row>
    <row r="28">
      <c r="A28" s="5" t="n"/>
      <c r="B28" s="6" t="inlineStr">
        <is>
          <t>MVP</t>
        </is>
      </c>
      <c r="C28" s="7" t="inlineStr">
        <is>
          <t>Total MVP</t>
        </is>
      </c>
      <c r="D28" s="5" t="n"/>
      <c r="E28" s="5" t="n"/>
      <c r="F28" s="5" t="n"/>
      <c r="G28" s="7">
        <f>SUM(G10)</f>
        <v/>
      </c>
      <c r="H28" s="5" t="n"/>
      <c r="I28" s="5" t="n"/>
      <c r="J28" s="5" t="n"/>
    </row>
    <row r="29">
      <c r="A29" s="2" t="inlineStr">
        <is>
          <t>3</t>
        </is>
      </c>
      <c r="B29" s="2" t="inlineStr">
        <is>
          <t>Production</t>
        </is>
      </c>
      <c r="C29" s="3" t="inlineStr">
        <is>
          <t>Production</t>
        </is>
      </c>
      <c r="G29" s="3">
        <f>SUM(G30,G31,G32,G33,G34,G35,G36,G37,G38,G39,G40,G41)</f>
        <v/>
      </c>
    </row>
    <row r="30">
      <c r="A30" s="2" t="inlineStr">
        <is>
          <t>3.1</t>
        </is>
      </c>
      <c r="B30" s="2" t="inlineStr">
        <is>
          <t>Production</t>
        </is>
      </c>
      <c r="C30" s="4" t="inlineStr">
        <is>
          <t>Quản lý triển khai – đợt 1</t>
        </is>
      </c>
      <c r="E30" s="2" t="inlineStr">
        <is>
          <t>PM</t>
        </is>
      </c>
      <c r="F30" s="2" t="inlineStr">
        <is>
          <t>Mid</t>
        </is>
      </c>
      <c r="G30" s="2" t="n">
        <v>7</v>
      </c>
      <c r="H30" s="2" t="inlineStr">
        <is>
          <t>2.8</t>
        </is>
      </c>
      <c r="I30" s="2" t="inlineStr">
        <is>
          <t>Kết quả: quản lý triển khai – đợt 1</t>
        </is>
      </c>
    </row>
    <row r="31">
      <c r="A31" s="2" t="inlineStr">
        <is>
          <t>3.2</t>
        </is>
      </c>
      <c r="B31" s="2" t="inlineStr">
        <is>
          <t>Production</t>
        </is>
      </c>
      <c r="C31" s="4" t="inlineStr">
        <is>
          <t>Quản lý triển khai – đợt 2</t>
        </is>
      </c>
      <c r="E31" s="2" t="inlineStr">
        <is>
          <t>PM</t>
        </is>
      </c>
      <c r="F31" s="2" t="inlineStr">
        <is>
          <t>Mid</t>
        </is>
      </c>
      <c r="G31" s="2" t="n">
        <v>7</v>
      </c>
      <c r="I31" s="2" t="inlineStr">
        <is>
          <t>Kết quả: quản lý triển khai – đợt 2</t>
        </is>
      </c>
    </row>
    <row r="32">
      <c r="A32" s="2" t="inlineStr">
        <is>
          <t>3.3</t>
        </is>
      </c>
      <c r="B32" s="2" t="inlineStr">
        <is>
          <t>Production</t>
        </is>
      </c>
      <c r="C32" s="4" t="inlineStr">
        <is>
          <t>Hardening &amp; bảo mật – đợt 1</t>
        </is>
      </c>
      <c r="E32" s="2" t="inlineStr">
        <is>
          <t>INFRA</t>
        </is>
      </c>
      <c r="F32" s="2" t="inlineStr">
        <is>
          <t>Mid</t>
        </is>
      </c>
      <c r="G32" s="2" t="n">
        <v>7</v>
      </c>
      <c r="H32" s="2" t="inlineStr">
        <is>
          <t>3.2</t>
        </is>
      </c>
      <c r="I32" s="2" t="inlineStr">
        <is>
          <t>Kết quả: hardening &amp; bảo mật – đợt 1</t>
        </is>
      </c>
      <c r="J32" s="2" t="inlineStr">
        <is>
          <t>security</t>
        </is>
      </c>
    </row>
    <row r="33">
      <c r="A33" s="2" t="inlineStr">
        <is>
          <t>3.4</t>
        </is>
      </c>
      <c r="B33" s="2" t="inlineStr">
        <is>
          <t>Production</t>
        </is>
      </c>
      <c r="C33" s="4" t="inlineStr">
        <is>
          <t>Hardening &amp; bảo mật – đợt 2</t>
        </is>
      </c>
      <c r="E33" s="2" t="inlineStr">
        <is>
          <t>INFRA</t>
        </is>
      </c>
      <c r="F33" s="2" t="inlineStr">
        <is>
          <t>Mid</t>
        </is>
      </c>
      <c r="G33" s="2" t="n">
        <v>7</v>
      </c>
      <c r="H33" s="2" t="inlineStr">
        <is>
          <t>3.2</t>
        </is>
      </c>
      <c r="I33" s="2" t="inlineStr">
        <is>
          <t>Kết quả: hardening &amp; bảo mật – đợt 2</t>
        </is>
      </c>
      <c r="J33" s="2" t="inlineStr">
        <is>
          <t>security</t>
        </is>
      </c>
    </row>
    <row r="34">
      <c r="A34" s="2" t="inlineStr">
        <is>
          <t>3.5</t>
        </is>
      </c>
      <c r="B34" s="2" t="inlineStr">
        <is>
          <t>Production</t>
        </is>
      </c>
      <c r="C34" s="4" t="inlineStr">
        <is>
          <t>Mở rộng Vector index – đợt 1</t>
        </is>
      </c>
      <c r="E34" s="2" t="inlineStr">
        <is>
          <t>BE</t>
        </is>
      </c>
      <c r="F34" s="2" t="inlineStr">
        <is>
          <t>Mid</t>
        </is>
      </c>
      <c r="G34" s="2" t="n">
        <v>7</v>
      </c>
      <c r="H34" s="2" t="inlineStr">
        <is>
          <t>3.2</t>
        </is>
      </c>
      <c r="I34" s="2" t="inlineStr">
        <is>
          <t>Kết quả: mở rộng vector index – đợt 1</t>
        </is>
      </c>
    </row>
    <row r="35">
      <c r="A35" s="2" t="inlineStr">
        <is>
          <t>3.6</t>
        </is>
      </c>
      <c r="B35" s="2" t="inlineStr">
        <is>
          <t>Production</t>
        </is>
      </c>
      <c r="C35" s="4" t="inlineStr">
        <is>
          <t>Mở rộng Vector index – đợt 2</t>
        </is>
      </c>
      <c r="E35" s="2" t="inlineStr">
        <is>
          <t>BE</t>
        </is>
      </c>
      <c r="F35" s="2" t="inlineStr">
        <is>
          <t>Mid</t>
        </is>
      </c>
      <c r="G35" s="2" t="n">
        <v>7</v>
      </c>
      <c r="H35" s="2" t="inlineStr">
        <is>
          <t>3.2</t>
        </is>
      </c>
      <c r="I35" s="2" t="inlineStr">
        <is>
          <t>Kết quả: mở rộng vector index – đợt 2</t>
        </is>
      </c>
    </row>
    <row r="36">
      <c r="A36" s="2" t="inlineStr">
        <is>
          <t>3.7</t>
        </is>
      </c>
      <c r="B36" s="2" t="inlineStr">
        <is>
          <t>Production</t>
        </is>
      </c>
      <c r="C36" s="4" t="inlineStr">
        <is>
          <t>Giám sát &amp; vận hành – đợt 1</t>
        </is>
      </c>
      <c r="E36" s="2" t="inlineStr">
        <is>
          <t>INFRA</t>
        </is>
      </c>
      <c r="F36" s="2" t="inlineStr">
        <is>
          <t>Mid</t>
        </is>
      </c>
      <c r="G36" s="2" t="n">
        <v>7</v>
      </c>
      <c r="H36" s="2" t="inlineStr">
        <is>
          <t>3.2</t>
        </is>
      </c>
      <c r="I36" s="2" t="inlineStr">
        <is>
          <t>Kết quả: giám sát &amp; vận hành – đợt 1</t>
        </is>
      </c>
    </row>
    <row r="37">
      <c r="A37" s="2" t="inlineStr">
        <is>
          <t>3.8</t>
        </is>
      </c>
      <c r="B37" s="2" t="inlineStr">
        <is>
          <t>Production</t>
        </is>
      </c>
      <c r="C37" s="4" t="inlineStr">
        <is>
          <t>Giám sát &amp; vận hành – đợt 2</t>
        </is>
      </c>
      <c r="E37" s="2" t="inlineStr">
        <is>
          <t>INFRA</t>
        </is>
      </c>
      <c r="F37" s="2" t="inlineStr">
        <is>
          <t>Mid</t>
        </is>
      </c>
      <c r="G37" s="2" t="n">
        <v>7</v>
      </c>
      <c r="H37" s="2" t="inlineStr">
        <is>
          <t>3.2</t>
        </is>
      </c>
      <c r="I37" s="2" t="inlineStr">
        <is>
          <t>Kết quả: giám sát &amp; vận hành – đợt 2</t>
        </is>
      </c>
    </row>
    <row r="38">
      <c r="A38" s="2" t="inlineStr">
        <is>
          <t>3.9</t>
        </is>
      </c>
      <c r="B38" s="2" t="inlineStr">
        <is>
          <t>Production</t>
        </is>
      </c>
      <c r="C38" s="4" t="inlineStr">
        <is>
          <t>UAT và nghiệm thu – đợt 1</t>
        </is>
      </c>
      <c r="E38" s="2" t="inlineStr">
        <is>
          <t>QA</t>
        </is>
      </c>
      <c r="F38" s="2" t="inlineStr">
        <is>
          <t>High</t>
        </is>
      </c>
      <c r="G38" s="2" t="n">
        <v>6</v>
      </c>
      <c r="H38" s="2" t="inlineStr">
        <is>
          <t>3.5, 3.6</t>
        </is>
      </c>
      <c r="I38" s="2" t="inlineStr">
        <is>
          <t>Kết quả: uat và nghiệm thu – đợt 1</t>
        </is>
      </c>
    </row>
    <row r="39">
      <c r="A39" s="2" t="inlineStr">
        <is>
          <t>3.10</t>
        </is>
      </c>
      <c r="B39" s="2" t="inlineStr">
        <is>
          <t>Production</t>
        </is>
      </c>
      <c r="C39" s="4" t="inlineStr">
        <is>
          <t>UAT và nghiệm thu – đợt 2</t>
        </is>
      </c>
      <c r="E39" s="2" t="inlineStr">
        <is>
          <t>QA</t>
        </is>
      </c>
      <c r="F39" s="2" t="inlineStr">
        <is>
          <t>High</t>
        </is>
      </c>
      <c r="G39" s="2" t="n">
        <v>6</v>
      </c>
      <c r="H39" s="2" t="inlineStr">
        <is>
          <t>3.5, 3.6</t>
        </is>
      </c>
      <c r="I39" s="2" t="inlineStr">
        <is>
          <t>Kết quả: uat và nghiệm thu – đợt 2</t>
        </is>
      </c>
    </row>
    <row r="40">
      <c r="A40" s="2" t="inlineStr">
        <is>
          <t>3.11</t>
        </is>
      </c>
      <c r="B40" s="2" t="inlineStr">
        <is>
          <t>Production</t>
        </is>
      </c>
      <c r="C40" s="4" t="inlineStr">
        <is>
          <t>Đào tạo &amp; bàn giao – đợt 1</t>
        </is>
      </c>
      <c r="E40" s="2" t="inlineStr">
        <is>
          <t>BA</t>
        </is>
      </c>
      <c r="F40" s="2" t="inlineStr">
        <is>
          <t>Mid</t>
        </is>
      </c>
      <c r="G40" s="2" t="n">
        <v>6</v>
      </c>
      <c r="I40" s="2" t="inlineStr">
        <is>
          <t>Kết quả: đào tạo &amp; bàn giao – đợt 1</t>
        </is>
      </c>
      <c r="J40" s="2" t="inlineStr">
        <is>
          <t>documentation</t>
        </is>
      </c>
    </row>
    <row r="41">
      <c r="A41" s="2" t="inlineStr">
        <is>
          <t>3.12</t>
        </is>
      </c>
      <c r="B41" s="2" t="inlineStr">
        <is>
          <t>Production</t>
        </is>
      </c>
      <c r="C41" s="4" t="inlineStr">
        <is>
          <t>Đào tạo &amp; bàn giao – đợt 2</t>
        </is>
      </c>
      <c r="E41" s="2" t="inlineStr">
        <is>
          <t>BA</t>
        </is>
      </c>
      <c r="F41" s="2" t="inlineStr">
        <is>
          <t>Mid</t>
        </is>
      </c>
      <c r="G41" s="2" t="n">
        <v>6</v>
      </c>
      <c r="I41" s="2" t="inlineStr">
        <is>
          <t>Kết quả: đào tạo &amp; bàn giao – đợt 2</t>
        </is>
      </c>
      <c r="J41" s="2" t="inlineStr">
        <is>
          <t>documentation</t>
        </is>
      </c>
    </row>
    <row r="42">
      <c r="A42" s="5" t="n"/>
      <c r="B42" s="6" t="inlineStr">
        <is>
          <t>Production</t>
        </is>
      </c>
      <c r="C42" s="7" t="inlineStr">
        <is>
          <t>Total Production</t>
        </is>
      </c>
      <c r="D42" s="5" t="n"/>
      <c r="E42" s="5" t="n"/>
      <c r="F42" s="5" t="n"/>
      <c r="G42" s="7">
        <f>SUM(G29)</f>
        <v/>
      </c>
      <c r="H42" s="5" t="n"/>
      <c r="I42" s="5" t="n"/>
      <c r="J42" s="5" t="n"/>
    </row>
    <row r="43">
      <c r="C43" s="3" t="inlineStr">
        <is>
          <t>Grand total</t>
        </is>
      </c>
      <c r="G43" s="3">
        <f>SUM(G9,G28,G42)</f>
        <v/>
      </c>
    </row>
  </sheetData>
  <autoFilter ref="A1:J43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</cols>
  <sheetData>
    <row r="1">
      <c r="A1" s="1" t="inlineStr">
        <is>
          <t>Phase</t>
        </is>
      </c>
      <c r="B1" s="1" t="inlineStr">
        <is>
          <t>AI</t>
        </is>
      </c>
      <c r="C1" s="1" t="inlineStr">
        <is>
          <t>BE</t>
        </is>
      </c>
      <c r="D1" s="1" t="inlineStr">
        <is>
          <t>FE</t>
        </is>
      </c>
      <c r="E1" s="1" t="inlineStr">
        <is>
          <t>QA</t>
        </is>
      </c>
      <c r="F1" s="1" t="inlineStr">
        <is>
          <t>BA</t>
        </is>
      </c>
      <c r="G1" s="1" t="inlineStr">
        <is>
          <t>PM</t>
        </is>
      </c>
      <c r="H1" s="1" t="inlineStr">
        <is>
          <t>INFRA</t>
        </is>
      </c>
      <c r="I1" s="1" t="inlineStr">
        <is>
          <t>DATA</t>
        </is>
      </c>
      <c r="J1" s="1" t="inlineStr">
        <is>
          <t>Total</t>
        </is>
      </c>
    </row>
    <row r="2">
      <c r="A2" s="3" t="inlineStr">
        <is>
          <t>PoC</t>
        </is>
      </c>
      <c r="B2" s="2">
        <f>SUMIFS(WBS!$G:$G,WBS!$B:$B,$A2,WBS!$E:$E,B$1)</f>
        <v/>
      </c>
      <c r="C2" s="2">
        <f>SUMIFS(WBS!$G:$G,WBS!$B:$B,$A2,WBS!$E:$E,C$1)</f>
        <v/>
      </c>
      <c r="D2" s="2">
        <f>SUMIFS(WBS!$G:$G,WBS!$B:$B,$A2,WBS!$E:$E,D$1)</f>
        <v/>
      </c>
      <c r="E2" s="2">
        <f>SUMIFS(WBS!$G:$G,WBS!$B:$B,$A2,WBS!$E:$E,E$1)</f>
        <v/>
      </c>
      <c r="F2" s="2">
        <f>SUMIFS(WBS!$G:$G,WBS!$B:$B,$A2,WBS!$E:$E,F$1)</f>
        <v/>
      </c>
      <c r="G2" s="2">
        <f>SUMIFS(WBS!$G:$G,WBS!$B:$B,$A2,WBS!$E:$E,G$1)</f>
        <v/>
      </c>
      <c r="H2" s="2">
        <f>SUMIFS(WBS!$G:$G,WBS!$B:$B,$A2,WBS!$E:$E,H$1)</f>
        <v/>
      </c>
      <c r="I2" s="2">
        <f>SUMIFS(WBS!$G:$G,WBS!$B:$B,$A2,WBS!$E:$E,I$1)</f>
        <v/>
      </c>
      <c r="J2" s="3">
        <f>SUM(B2:I2)</f>
        <v/>
      </c>
    </row>
    <row r="3">
      <c r="A3" s="3" t="inlineStr">
        <is>
          <t>MVP</t>
        </is>
      </c>
      <c r="B3" s="2">
        <f>SUMIFS(WBS!$G:$G,WBS!$B:$B,$A3,WBS!$E:$E,B$1)</f>
        <v/>
      </c>
      <c r="C3" s="2">
        <f>SUMIFS(WBS!$G:$G,WBS!$B:$B,$A3,WBS!$E:$E,C$1)</f>
        <v/>
      </c>
      <c r="D3" s="2">
        <f>SUMIFS(WBS!$G:$G,WBS!$B:$B,$A3,WBS!$E:$E,D$1)</f>
        <v/>
      </c>
      <c r="E3" s="2">
        <f>SUMIFS(WBS!$G:$G,WBS!$B:$B,$A3,WBS!$E:$E,E$1)</f>
        <v/>
      </c>
      <c r="F3" s="2">
        <f>SUMIFS(WBS!$G:$G,WBS!$B:$B,$A3,WBS!$E:$E,F$1)</f>
        <v/>
      </c>
      <c r="G3" s="2">
        <f>SUMIFS(WBS!$G:$G,WBS!$B:$B,$A3,WBS!$E:$E,G$1)</f>
        <v/>
      </c>
      <c r="H3" s="2">
        <f>SUMIFS(WBS!$G:$G,WBS!$B:$B,$A3,WBS!$E:$E,H$1)</f>
        <v/>
      </c>
      <c r="I3" s="2">
        <f>SUMIFS(WBS!$G:$G,WBS!$B:$B,$A3,WBS!$E:$E,I$1)</f>
        <v/>
      </c>
      <c r="J3" s="3">
        <f>SUM(B3:I3)</f>
        <v/>
      </c>
    </row>
    <row r="4">
      <c r="A4" s="3" t="inlineStr">
        <is>
          <t>Production</t>
        </is>
      </c>
      <c r="B4" s="2">
        <f>SUMIFS(WBS!$G:$G,WBS!$B:$B,$A4,WBS!$E:$E,B$1)</f>
        <v/>
      </c>
      <c r="C4" s="2">
        <f>SUMIFS(WBS!$G:$G,WBS!$B:$B,$A4,WBS!$E:$E,C$1)</f>
        <v/>
      </c>
      <c r="D4" s="2">
        <f>SUMIFS(WBS!$G:$G,WBS!$B:$B,$A4,WBS!$E:$E,D$1)</f>
        <v/>
      </c>
      <c r="E4" s="2">
        <f>SUMIFS(WBS!$G:$G,WBS!$B:$B,$A4,WBS!$E:$E,E$1)</f>
        <v/>
      </c>
      <c r="F4" s="2">
        <f>SUMIFS(WBS!$G:$G,WBS!$B:$B,$A4,WBS!$E:$E,F$1)</f>
        <v/>
      </c>
      <c r="G4" s="2">
        <f>SUMIFS(WBS!$G:$G,WBS!$B:$B,$A4,WBS!$E:$E,G$1)</f>
        <v/>
      </c>
      <c r="H4" s="2">
        <f>SUMIFS(WBS!$G:$G,WBS!$B:$B,$A4,WBS!$E:$E,H$1)</f>
        <v/>
      </c>
      <c r="I4" s="2">
        <f>SUMIFS(WBS!$G:$G,WBS!$B:$B,$A4,WBS!$E:$E,I$1)</f>
        <v/>
      </c>
      <c r="J4" s="3">
        <f>SUM(B4:I4)</f>
        <v/>
      </c>
    </row>
    <row r="5">
      <c r="A5" s="7" t="inlineStr">
        <is>
          <t>Total</t>
        </is>
      </c>
      <c r="B5" s="7">
        <f>SUM(B2:B4)</f>
        <v/>
      </c>
      <c r="C5" s="7">
        <f>SUM(C2:C4)</f>
        <v/>
      </c>
      <c r="D5" s="7">
        <f>SUM(D2:D4)</f>
        <v/>
      </c>
      <c r="E5" s="7">
        <f>SUM(E2:E4)</f>
        <v/>
      </c>
      <c r="F5" s="7">
        <f>SUM(F2:F4)</f>
        <v/>
      </c>
      <c r="G5" s="7">
        <f>SUM(G2:G4)</f>
        <v/>
      </c>
      <c r="H5" s="7">
        <f>SUM(H2:H4)</f>
        <v/>
      </c>
      <c r="I5" s="7">
        <f>SUM(I2:I4)</f>
        <v/>
      </c>
      <c r="J5" s="7">
        <f>SUM(J2:J4)</f>
        <v/>
      </c>
    </row>
    <row r="7">
      <c r="A7" s="9" t="inlineStr">
        <is>
          <t>Assumptions</t>
        </is>
      </c>
    </row>
    <row r="8" ht="15" customHeight="1">
      <c r="A8" s="10" t="inlineStr">
        <is>
          <t>• WBS sinh bởi mock LLM.</t>
        </is>
      </c>
    </row>
    <row r="10">
      <c r="A10" s="9" t="inlineStr">
        <is>
          <t>Out of scope</t>
        </is>
      </c>
    </row>
    <row r="11" ht="15" customHeight="1">
      <c r="A11" s="10" t="inlineStr">
        <is>
          <t>• Ứng dụng di động native (iOS/Android)</t>
        </is>
      </c>
    </row>
    <row r="12" ht="15" customHeight="1">
      <c r="A12" s="10" t="inlineStr">
        <is>
          <t>• Tích hợp hệ thống ERP hiện có chưa được liệt kê trong requirements</t>
        </is>
      </c>
    </row>
    <row r="13" ht="15" customHeight="1">
      <c r="A13" s="10" t="inlineStr">
        <is>
          <t>• Di chuyển (migrate) toàn bộ dữ liệu lịch sử (chỉ nạp dữ liệu mẫu trong PoC)</t>
        </is>
      </c>
    </row>
  </sheetData>
  <autoFilter ref="A1:J5"/>
  <mergeCells count="4">
    <mergeCell ref="A12:J12"/>
    <mergeCell ref="A13:J13"/>
    <mergeCell ref="A8:J8"/>
    <mergeCell ref="A11:J1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35"/>
  <sheetViews>
    <sheetView workbookViewId="0">
      <pane xSplit="6" ySplit="1" topLeftCell="G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42" customWidth="1" min="2" max="2"/>
    <col width="11" customWidth="1" min="3" max="3"/>
    <col width="11" customWidth="1" min="4" max="4"/>
    <col width="11" customWidth="1" min="5" max="5"/>
    <col width="6" customWidth="1" min="6" max="6"/>
    <col width="6.5" customWidth="1" min="7" max="7"/>
    <col width="6.5" customWidth="1" min="8" max="8"/>
    <col width="6.5" customWidth="1" min="9" max="9"/>
    <col width="6.5" customWidth="1" min="10" max="10"/>
    <col width="6.5" customWidth="1" min="11" max="11"/>
    <col width="6.5" customWidth="1" min="12" max="12"/>
    <col width="6.5" customWidth="1" min="13" max="13"/>
    <col width="6.5" customWidth="1" min="14" max="14"/>
    <col width="6.5" customWidth="1" min="15" max="15"/>
    <col width="6.5" customWidth="1" min="16" max="16"/>
    <col width="6.5" customWidth="1" min="17" max="17"/>
    <col width="6.5" customWidth="1" min="18" max="18"/>
  </cols>
  <sheetData>
    <row r="1">
      <c r="A1" s="1" t="inlineStr">
        <is>
          <t>ID</t>
        </is>
      </c>
      <c r="B1" s="1" t="inlineStr">
        <is>
          <t>Task</t>
        </is>
      </c>
      <c r="C1" s="1" t="inlineStr">
        <is>
          <t>Phase</t>
        </is>
      </c>
      <c r="D1" s="1" t="inlineStr">
        <is>
          <t>Start</t>
        </is>
      </c>
      <c r="E1" s="1" t="inlineStr">
        <is>
          <t>End</t>
        </is>
      </c>
      <c r="F1" s="1" t="inlineStr">
        <is>
          <t>Days</t>
        </is>
      </c>
      <c r="G1" s="1" t="inlineStr">
        <is>
          <t>19/10</t>
        </is>
      </c>
      <c r="H1" s="1" t="inlineStr">
        <is>
          <t>26/10</t>
        </is>
      </c>
      <c r="I1" s="1" t="inlineStr">
        <is>
          <t>02/11</t>
        </is>
      </c>
      <c r="J1" s="1" t="inlineStr">
        <is>
          <t>09/11</t>
        </is>
      </c>
      <c r="K1" s="1" t="inlineStr">
        <is>
          <t>16/11</t>
        </is>
      </c>
      <c r="L1" s="1" t="inlineStr">
        <is>
          <t>23/11</t>
        </is>
      </c>
      <c r="M1" s="1" t="inlineStr">
        <is>
          <t>30/11</t>
        </is>
      </c>
      <c r="N1" s="1" t="inlineStr">
        <is>
          <t>07/12</t>
        </is>
      </c>
      <c r="O1" s="1" t="inlineStr">
        <is>
          <t>14/12</t>
        </is>
      </c>
      <c r="P1" s="1" t="inlineStr">
        <is>
          <t>21/12</t>
        </is>
      </c>
      <c r="Q1" s="1" t="inlineStr">
        <is>
          <t>28/12</t>
        </is>
      </c>
      <c r="R1" s="1" t="inlineStr">
        <is>
          <t>04/01</t>
        </is>
      </c>
    </row>
    <row r="2">
      <c r="A2" s="3" t="inlineStr"/>
      <c r="B2" s="3" t="inlineStr">
        <is>
          <t>PoC</t>
        </is>
      </c>
      <c r="C2" s="3" t="inlineStr">
        <is>
          <t>PoC</t>
        </is>
      </c>
      <c r="D2" s="11" t="n">
        <v>46314</v>
      </c>
      <c r="E2" s="11" t="n">
        <v>46322</v>
      </c>
      <c r="F2" s="3" t="n">
        <v>7</v>
      </c>
      <c r="G2" s="12" t="n"/>
      <c r="H2" s="12" t="n"/>
      <c r="I2" s="13" t="n"/>
      <c r="J2" s="13" t="n"/>
      <c r="K2" s="13" t="n"/>
      <c r="L2" s="13" t="n"/>
      <c r="M2" s="13" t="n"/>
      <c r="N2" s="13" t="n"/>
      <c r="O2" s="13" t="n"/>
      <c r="P2" s="13" t="n"/>
      <c r="Q2" s="13" t="n"/>
      <c r="R2" s="13" t="n"/>
    </row>
    <row r="3">
      <c r="A3" s="2" t="inlineStr">
        <is>
          <t>1.1</t>
        </is>
      </c>
      <c r="B3" s="14" t="inlineStr">
        <is>
          <t>Kick-off và quản lý PoC</t>
        </is>
      </c>
      <c r="C3" s="2" t="inlineStr">
        <is>
          <t>PoC</t>
        </is>
      </c>
      <c r="D3" s="15" t="n">
        <v>46314</v>
      </c>
      <c r="E3" s="15" t="n">
        <v>46315</v>
      </c>
      <c r="F3" s="2" t="n">
        <v>2</v>
      </c>
      <c r="G3" s="16" t="n"/>
      <c r="H3" s="13" t="n"/>
      <c r="I3" s="13" t="n"/>
      <c r="J3" s="13" t="n"/>
      <c r="K3" s="13" t="n"/>
      <c r="L3" s="13" t="n"/>
      <c r="M3" s="13" t="n"/>
      <c r="N3" s="13" t="n"/>
      <c r="O3" s="13" t="n"/>
      <c r="P3" s="13" t="n"/>
      <c r="Q3" s="13" t="n"/>
      <c r="R3" s="13" t="n"/>
    </row>
    <row r="4">
      <c r="A4" s="2" t="inlineStr">
        <is>
          <t>1.2</t>
        </is>
      </c>
      <c r="B4" s="14" t="inlineStr">
        <is>
          <t>Khảo sát dữ liệu &amp; yêu cầu</t>
        </is>
      </c>
      <c r="C4" s="2" t="inlineStr">
        <is>
          <t>PoC</t>
        </is>
      </c>
      <c r="D4" s="15" t="n">
        <v>46314</v>
      </c>
      <c r="E4" s="15" t="n">
        <v>46315</v>
      </c>
      <c r="F4" s="2" t="n">
        <v>2</v>
      </c>
      <c r="G4" s="16" t="n"/>
      <c r="H4" s="13" t="n"/>
      <c r="I4" s="13" t="n"/>
      <c r="J4" s="13" t="n"/>
      <c r="K4" s="13" t="n"/>
      <c r="L4" s="13" t="n"/>
      <c r="M4" s="13" t="n"/>
      <c r="N4" s="13" t="n"/>
      <c r="O4" s="13" t="n"/>
      <c r="P4" s="13" t="n"/>
      <c r="Q4" s="13" t="n"/>
      <c r="R4" s="13" t="n"/>
    </row>
    <row r="5">
      <c r="A5" s="2" t="inlineStr">
        <is>
          <t>1.3</t>
        </is>
      </c>
      <c r="B5" s="14" t="inlineStr">
        <is>
          <t>Chuẩn bị dữ liệu mẫu</t>
        </is>
      </c>
      <c r="C5" s="2" t="inlineStr">
        <is>
          <t>PoC</t>
        </is>
      </c>
      <c r="D5" s="15" t="n">
        <v>46316</v>
      </c>
      <c r="E5" s="15" t="n">
        <v>46317</v>
      </c>
      <c r="F5" s="2" t="n">
        <v>2</v>
      </c>
      <c r="G5" s="16" t="n"/>
      <c r="H5" s="13" t="n"/>
      <c r="I5" s="13" t="n"/>
      <c r="J5" s="13" t="n"/>
      <c r="K5" s="13" t="n"/>
      <c r="L5" s="13" t="n"/>
      <c r="M5" s="13" t="n"/>
      <c r="N5" s="13" t="n"/>
      <c r="O5" s="13" t="n"/>
      <c r="P5" s="13" t="n"/>
      <c r="Q5" s="13" t="n"/>
      <c r="R5" s="13" t="n"/>
    </row>
    <row r="6">
      <c r="A6" s="2" t="inlineStr">
        <is>
          <t>1.4</t>
        </is>
      </c>
      <c r="B6" s="14" t="inlineStr">
        <is>
          <t>Dựng prototype Chat API</t>
        </is>
      </c>
      <c r="C6" s="2" t="inlineStr">
        <is>
          <t>PoC</t>
        </is>
      </c>
      <c r="D6" s="15" t="n">
        <v>46316</v>
      </c>
      <c r="E6" s="15" t="n">
        <v>46316</v>
      </c>
      <c r="F6" s="2" t="n">
        <v>1</v>
      </c>
      <c r="G6" s="16" t="n"/>
      <c r="H6" s="13" t="n"/>
      <c r="I6" s="13" t="n"/>
      <c r="J6" s="13" t="n"/>
      <c r="K6" s="13" t="n"/>
      <c r="L6" s="13" t="n"/>
      <c r="M6" s="13" t="n"/>
      <c r="N6" s="13" t="n"/>
      <c r="O6" s="13" t="n"/>
      <c r="P6" s="13" t="n"/>
      <c r="Q6" s="13" t="n"/>
      <c r="R6" s="13" t="n"/>
    </row>
    <row r="7">
      <c r="A7" s="2" t="inlineStr">
        <is>
          <t>1.5</t>
        </is>
      </c>
      <c r="B7" s="14" t="inlineStr">
        <is>
          <t>Đánh giá kết quả PoC</t>
        </is>
      </c>
      <c r="C7" s="2" t="inlineStr">
        <is>
          <t>PoC</t>
        </is>
      </c>
      <c r="D7" s="15" t="n">
        <v>46316</v>
      </c>
      <c r="E7" s="15" t="n">
        <v>46316</v>
      </c>
      <c r="F7" s="2" t="n">
        <v>1</v>
      </c>
      <c r="G7" s="16" t="n"/>
      <c r="H7" s="13" t="n"/>
      <c r="I7" s="13" t="n"/>
      <c r="J7" s="13" t="n"/>
      <c r="K7" s="13" t="n"/>
      <c r="L7" s="13" t="n"/>
      <c r="M7" s="13" t="n"/>
      <c r="N7" s="13" t="n"/>
      <c r="O7" s="13" t="n"/>
      <c r="P7" s="13" t="n"/>
      <c r="Q7" s="13" t="n"/>
      <c r="R7" s="13" t="n"/>
    </row>
    <row r="8">
      <c r="A8" s="2" t="inlineStr">
        <is>
          <t>1.6</t>
        </is>
      </c>
      <c r="B8" s="14" t="inlineStr">
        <is>
          <t>Test và nghiệm thu PoC</t>
        </is>
      </c>
      <c r="C8" s="2" t="inlineStr">
        <is>
          <t>PoC</t>
        </is>
      </c>
      <c r="D8" s="15" t="n">
        <v>46318</v>
      </c>
      <c r="E8" s="15" t="n">
        <v>46321</v>
      </c>
      <c r="F8" s="2" t="n">
        <v>2</v>
      </c>
      <c r="G8" s="16" t="n"/>
      <c r="H8" s="16" t="n"/>
      <c r="I8" s="13" t="n"/>
      <c r="J8" s="13" t="n"/>
      <c r="K8" s="13" t="n"/>
      <c r="L8" s="13" t="n"/>
      <c r="M8" s="13" t="n"/>
      <c r="N8" s="13" t="n"/>
      <c r="O8" s="13" t="n"/>
      <c r="P8" s="13" t="n"/>
      <c r="Q8" s="13" t="n"/>
      <c r="R8" s="13" t="n"/>
    </row>
    <row r="9">
      <c r="A9" s="17" t="inlineStr">
        <is>
          <t>M1</t>
        </is>
      </c>
      <c r="B9" s="17" t="inlineStr">
        <is>
          <t>Kick-off (30%)</t>
        </is>
      </c>
      <c r="C9" s="17" t="inlineStr">
        <is>
          <t>PoC</t>
        </is>
      </c>
      <c r="D9" s="18" t="n">
        <v>46314</v>
      </c>
      <c r="E9" s="18" t="n">
        <v>46314</v>
      </c>
      <c r="F9" s="17" t="n">
        <v>0</v>
      </c>
      <c r="G9" s="19" t="inlineStr">
        <is>
          <t>◆</t>
        </is>
      </c>
      <c r="H9" s="13" t="n"/>
      <c r="I9" s="13" t="n"/>
      <c r="J9" s="13" t="n"/>
      <c r="K9" s="13" t="n"/>
      <c r="L9" s="13" t="n"/>
      <c r="M9" s="13" t="n"/>
      <c r="N9" s="13" t="n"/>
      <c r="O9" s="13" t="n"/>
      <c r="P9" s="13" t="n"/>
      <c r="Q9" s="13" t="n"/>
      <c r="R9" s="13" t="n"/>
    </row>
    <row r="10">
      <c r="A10" s="17" t="inlineStr">
        <is>
          <t>M2</t>
        </is>
      </c>
      <c r="B10" s="17" t="inlineStr">
        <is>
          <t>Nghiệm thu PoC</t>
        </is>
      </c>
      <c r="C10" s="17" t="inlineStr">
        <is>
          <t>PoC</t>
        </is>
      </c>
      <c r="D10" s="18" t="n">
        <v>46322</v>
      </c>
      <c r="E10" s="18" t="n">
        <v>46322</v>
      </c>
      <c r="F10" s="17" t="n">
        <v>0</v>
      </c>
      <c r="G10" s="13" t="n"/>
      <c r="H10" s="19" t="inlineStr">
        <is>
          <t>◆</t>
        </is>
      </c>
      <c r="I10" s="13" t="n"/>
      <c r="J10" s="13" t="n"/>
      <c r="K10" s="13" t="n"/>
      <c r="L10" s="13" t="n"/>
      <c r="M10" s="13" t="n"/>
      <c r="N10" s="13" t="n"/>
      <c r="O10" s="13" t="n"/>
      <c r="P10" s="13" t="n"/>
      <c r="Q10" s="13" t="n"/>
      <c r="R10" s="13" t="n"/>
    </row>
    <row r="11">
      <c r="A11" s="3" t="inlineStr"/>
      <c r="B11" s="3" t="inlineStr">
        <is>
          <t>MVP</t>
        </is>
      </c>
      <c r="C11" s="3" t="inlineStr">
        <is>
          <t>MVP</t>
        </is>
      </c>
      <c r="D11" s="11" t="n">
        <v>46323</v>
      </c>
      <c r="E11" s="11" t="n">
        <v>46345</v>
      </c>
      <c r="F11" s="3" t="n">
        <v>17</v>
      </c>
      <c r="G11" s="13" t="n"/>
      <c r="H11" s="20" t="n"/>
      <c r="I11" s="20" t="n"/>
      <c r="J11" s="20" t="n"/>
      <c r="K11" s="20" t="n"/>
      <c r="L11" s="13" t="n"/>
      <c r="M11" s="13" t="n"/>
      <c r="N11" s="13" t="n"/>
      <c r="O11" s="13" t="n"/>
      <c r="P11" s="13" t="n"/>
      <c r="Q11" s="13" t="n"/>
      <c r="R11" s="13" t="n"/>
    </row>
    <row r="12">
      <c r="A12" s="2" t="inlineStr">
        <is>
          <t>2.1</t>
        </is>
      </c>
      <c r="B12" s="14" t="inlineStr">
        <is>
          <t>Quản lý dự án MVP</t>
        </is>
      </c>
      <c r="C12" s="2" t="inlineStr">
        <is>
          <t>MVP</t>
        </is>
      </c>
      <c r="D12" s="15" t="n">
        <v>46323</v>
      </c>
      <c r="E12" s="15" t="n">
        <v>46329</v>
      </c>
      <c r="F12" s="2" t="n">
        <v>5</v>
      </c>
      <c r="G12" s="13" t="n"/>
      <c r="H12" s="21" t="n"/>
      <c r="I12" s="21" t="n"/>
      <c r="J12" s="13" t="n"/>
      <c r="K12" s="13" t="n"/>
      <c r="L12" s="13" t="n"/>
      <c r="M12" s="13" t="n"/>
      <c r="N12" s="13" t="n"/>
      <c r="O12" s="13" t="n"/>
      <c r="P12" s="13" t="n"/>
      <c r="Q12" s="13" t="n"/>
      <c r="R12" s="13" t="n"/>
    </row>
    <row r="13">
      <c r="A13" s="2" t="inlineStr">
        <is>
          <t>2.2</t>
        </is>
      </c>
      <c r="B13" s="14" t="inlineStr">
        <is>
          <t>Phân tích &amp; thiết kế chi tiết</t>
        </is>
      </c>
      <c r="C13" s="2" t="inlineStr">
        <is>
          <t>MVP</t>
        </is>
      </c>
      <c r="D13" s="15" t="n">
        <v>46323</v>
      </c>
      <c r="E13" s="15" t="n">
        <v>46329</v>
      </c>
      <c r="F13" s="2" t="n">
        <v>5</v>
      </c>
      <c r="G13" s="13" t="n"/>
      <c r="H13" s="21" t="n"/>
      <c r="I13" s="21" t="n"/>
      <c r="J13" s="13" t="n"/>
      <c r="K13" s="13" t="n"/>
      <c r="L13" s="13" t="n"/>
      <c r="M13" s="13" t="n"/>
      <c r="N13" s="13" t="n"/>
      <c r="O13" s="13" t="n"/>
      <c r="P13" s="13" t="n"/>
      <c r="Q13" s="13" t="n"/>
      <c r="R13" s="13" t="n"/>
    </row>
    <row r="14">
      <c r="A14" s="2" t="inlineStr">
        <is>
          <t>2.3</t>
        </is>
      </c>
      <c r="B14" s="14" t="inlineStr">
        <is>
          <t>Chuẩn bị &amp; làm sạch dữ liệu</t>
        </is>
      </c>
      <c r="C14" s="2" t="inlineStr">
        <is>
          <t>MVP</t>
        </is>
      </c>
      <c r="D14" s="15" t="n">
        <v>46330</v>
      </c>
      <c r="E14" s="15" t="n">
        <v>46336</v>
      </c>
      <c r="F14" s="2" t="n">
        <v>5</v>
      </c>
      <c r="G14" s="13" t="n"/>
      <c r="H14" s="13" t="n"/>
      <c r="I14" s="21" t="n"/>
      <c r="J14" s="21" t="n"/>
      <c r="K14" s="13" t="n"/>
      <c r="L14" s="13" t="n"/>
      <c r="M14" s="13" t="n"/>
      <c r="N14" s="13" t="n"/>
      <c r="O14" s="13" t="n"/>
      <c r="P14" s="13" t="n"/>
      <c r="Q14" s="13" t="n"/>
      <c r="R14" s="13" t="n"/>
    </row>
    <row r="15">
      <c r="A15" s="2" t="inlineStr">
        <is>
          <t>2.4</t>
        </is>
      </c>
      <c r="B15" s="14" t="inlineStr">
        <is>
          <t>Xây dựng Chat API</t>
        </is>
      </c>
      <c r="C15" s="2" t="inlineStr">
        <is>
          <t>MVP</t>
        </is>
      </c>
      <c r="D15" s="15" t="n">
        <v>46330</v>
      </c>
      <c r="E15" s="15" t="n">
        <v>46332</v>
      </c>
      <c r="F15" s="2" t="n">
        <v>3</v>
      </c>
      <c r="G15" s="13" t="n"/>
      <c r="H15" s="13" t="n"/>
      <c r="I15" s="21" t="n"/>
      <c r="J15" s="13" t="n"/>
      <c r="K15" s="13" t="n"/>
      <c r="L15" s="13" t="n"/>
      <c r="M15" s="13" t="n"/>
      <c r="N15" s="13" t="n"/>
      <c r="O15" s="13" t="n"/>
      <c r="P15" s="13" t="n"/>
      <c r="Q15" s="13" t="n"/>
      <c r="R15" s="13" t="n"/>
    </row>
    <row r="16">
      <c r="A16" s="2" t="inlineStr">
        <is>
          <t>2.5</t>
        </is>
      </c>
      <c r="B16" s="14" t="inlineStr">
        <is>
          <t>Xây dựng Web chat</t>
        </is>
      </c>
      <c r="C16" s="2" t="inlineStr">
        <is>
          <t>MVP</t>
        </is>
      </c>
      <c r="D16" s="15" t="n">
        <v>46330</v>
      </c>
      <c r="E16" s="15" t="n">
        <v>46335</v>
      </c>
      <c r="F16" s="2" t="n">
        <v>4</v>
      </c>
      <c r="G16" s="13" t="n"/>
      <c r="H16" s="13" t="n"/>
      <c r="I16" s="21" t="n"/>
      <c r="J16" s="21" t="n"/>
      <c r="K16" s="13" t="n"/>
      <c r="L16" s="13" t="n"/>
      <c r="M16" s="13" t="n"/>
      <c r="N16" s="13" t="n"/>
      <c r="O16" s="13" t="n"/>
      <c r="P16" s="13" t="n"/>
      <c r="Q16" s="13" t="n"/>
      <c r="R16" s="13" t="n"/>
    </row>
    <row r="17">
      <c r="A17" s="2" t="inlineStr">
        <is>
          <t>2.6</t>
        </is>
      </c>
      <c r="B17" s="14" t="inlineStr">
        <is>
          <t>Giao diện người dùng</t>
        </is>
      </c>
      <c r="C17" s="2" t="inlineStr">
        <is>
          <t>MVP</t>
        </is>
      </c>
      <c r="D17" s="15" t="n">
        <v>46330</v>
      </c>
      <c r="E17" s="15" t="n">
        <v>46335</v>
      </c>
      <c r="F17" s="2" t="n">
        <v>4</v>
      </c>
      <c r="G17" s="13" t="n"/>
      <c r="H17" s="13" t="n"/>
      <c r="I17" s="21" t="n"/>
      <c r="J17" s="21" t="n"/>
      <c r="K17" s="13" t="n"/>
      <c r="L17" s="13" t="n"/>
      <c r="M17" s="13" t="n"/>
      <c r="N17" s="13" t="n"/>
      <c r="O17" s="13" t="n"/>
      <c r="P17" s="13" t="n"/>
      <c r="Q17" s="13" t="n"/>
      <c r="R17" s="13" t="n"/>
    </row>
    <row r="18">
      <c r="A18" s="2" t="inlineStr">
        <is>
          <t>2.7</t>
        </is>
      </c>
      <c r="B18" s="14" t="inlineStr">
        <is>
          <t>Bộ đánh giá chất lượng</t>
        </is>
      </c>
      <c r="C18" s="2" t="inlineStr">
        <is>
          <t>MVP</t>
        </is>
      </c>
      <c r="D18" s="15" t="n">
        <v>46330</v>
      </c>
      <c r="E18" s="15" t="n">
        <v>46331</v>
      </c>
      <c r="F18" s="2" t="n">
        <v>2</v>
      </c>
      <c r="G18" s="13" t="n"/>
      <c r="H18" s="13" t="n"/>
      <c r="I18" s="21" t="n"/>
      <c r="J18" s="13" t="n"/>
      <c r="K18" s="13" t="n"/>
      <c r="L18" s="13" t="n"/>
      <c r="M18" s="13" t="n"/>
      <c r="N18" s="13" t="n"/>
      <c r="O18" s="13" t="n"/>
      <c r="P18" s="13" t="n"/>
      <c r="Q18" s="13" t="n"/>
      <c r="R18" s="13" t="n"/>
    </row>
    <row r="19">
      <c r="A19" s="2" t="inlineStr">
        <is>
          <t>2.8</t>
        </is>
      </c>
      <c r="B19" s="14" t="inlineStr">
        <is>
          <t>Test và nghiệm thu MVP</t>
        </is>
      </c>
      <c r="C19" s="2" t="inlineStr">
        <is>
          <t>MVP</t>
        </is>
      </c>
      <c r="D19" s="15" t="n">
        <v>46337</v>
      </c>
      <c r="E19" s="15" t="n">
        <v>46342</v>
      </c>
      <c r="F19" s="2" t="n">
        <v>4</v>
      </c>
      <c r="G19" s="13" t="n"/>
      <c r="H19" s="13" t="n"/>
      <c r="I19" s="13" t="n"/>
      <c r="J19" s="21" t="n"/>
      <c r="K19" s="21" t="n"/>
      <c r="L19" s="13" t="n"/>
      <c r="M19" s="13" t="n"/>
      <c r="N19" s="13" t="n"/>
      <c r="O19" s="13" t="n"/>
      <c r="P19" s="13" t="n"/>
      <c r="Q19" s="13" t="n"/>
      <c r="R19" s="13" t="n"/>
    </row>
    <row r="20">
      <c r="A20" s="2" t="inlineStr">
        <is>
          <t>2.9</t>
        </is>
      </c>
      <c r="B20" s="14" t="inlineStr">
        <is>
          <t>Tài liệu và bàn giao</t>
        </is>
      </c>
      <c r="C20" s="2" t="inlineStr">
        <is>
          <t>MVP</t>
        </is>
      </c>
      <c r="D20" s="15" t="n">
        <v>46323</v>
      </c>
      <c r="E20" s="15" t="n">
        <v>46328</v>
      </c>
      <c r="F20" s="2" t="n">
        <v>4</v>
      </c>
      <c r="G20" s="13" t="n"/>
      <c r="H20" s="21" t="n"/>
      <c r="I20" s="21" t="n"/>
      <c r="J20" s="13" t="n"/>
      <c r="K20" s="13" t="n"/>
      <c r="L20" s="13" t="n"/>
      <c r="M20" s="13" t="n"/>
      <c r="N20" s="13" t="n"/>
      <c r="O20" s="13" t="n"/>
      <c r="P20" s="13" t="n"/>
      <c r="Q20" s="13" t="n"/>
      <c r="R20" s="13" t="n"/>
    </row>
    <row r="21">
      <c r="A21" s="17" t="inlineStr">
        <is>
          <t>M3</t>
        </is>
      </c>
      <c r="B21" s="17" t="inlineStr">
        <is>
          <t>Nghiệm thu MVP (40%)</t>
        </is>
      </c>
      <c r="C21" s="17" t="inlineStr">
        <is>
          <t>MVP</t>
        </is>
      </c>
      <c r="D21" s="18" t="n">
        <v>46345</v>
      </c>
      <c r="E21" s="18" t="n">
        <v>46345</v>
      </c>
      <c r="F21" s="17" t="n">
        <v>0</v>
      </c>
      <c r="G21" s="13" t="n"/>
      <c r="H21" s="13" t="n"/>
      <c r="I21" s="13" t="n"/>
      <c r="J21" s="13" t="n"/>
      <c r="K21" s="19" t="inlineStr">
        <is>
          <t>◆</t>
        </is>
      </c>
      <c r="L21" s="13" t="n"/>
      <c r="M21" s="13" t="n"/>
      <c r="N21" s="13" t="n"/>
      <c r="O21" s="13" t="n"/>
      <c r="P21" s="13" t="n"/>
      <c r="Q21" s="13" t="n"/>
      <c r="R21" s="13" t="n"/>
    </row>
    <row r="22">
      <c r="A22" s="3" t="inlineStr"/>
      <c r="B22" s="3" t="inlineStr">
        <is>
          <t>Production</t>
        </is>
      </c>
      <c r="C22" s="3" t="inlineStr">
        <is>
          <t>Production</t>
        </is>
      </c>
      <c r="D22" s="11" t="n">
        <v>46346</v>
      </c>
      <c r="E22" s="11" t="n">
        <v>46392</v>
      </c>
      <c r="F22" s="3" t="n">
        <v>33</v>
      </c>
      <c r="G22" s="13" t="n"/>
      <c r="H22" s="13" t="n"/>
      <c r="I22" s="13" t="n"/>
      <c r="J22" s="13" t="n"/>
      <c r="K22" s="22" t="n"/>
      <c r="L22" s="22" t="n"/>
      <c r="M22" s="22" t="n"/>
      <c r="N22" s="22" t="n"/>
      <c r="O22" s="22" t="n"/>
      <c r="P22" s="22" t="n"/>
      <c r="Q22" s="22" t="n"/>
      <c r="R22" s="22" t="n"/>
    </row>
    <row r="23">
      <c r="A23" s="2" t="inlineStr">
        <is>
          <t>3.1</t>
        </is>
      </c>
      <c r="B23" s="14" t="inlineStr">
        <is>
          <t>Quản lý triển khai – đợt 1</t>
        </is>
      </c>
      <c r="C23" s="2" t="inlineStr">
        <is>
          <t>Production</t>
        </is>
      </c>
      <c r="D23" s="15" t="n">
        <v>46346</v>
      </c>
      <c r="E23" s="15" t="n">
        <v>46356</v>
      </c>
      <c r="F23" s="2" t="n">
        <v>7</v>
      </c>
      <c r="G23" s="13" t="n"/>
      <c r="H23" s="13" t="n"/>
      <c r="I23" s="13" t="n"/>
      <c r="J23" s="13" t="n"/>
      <c r="K23" s="23" t="n"/>
      <c r="L23" s="23" t="n"/>
      <c r="M23" s="23" t="n"/>
      <c r="N23" s="13" t="n"/>
      <c r="O23" s="13" t="n"/>
      <c r="P23" s="13" t="n"/>
      <c r="Q23" s="13" t="n"/>
      <c r="R23" s="13" t="n"/>
    </row>
    <row r="24">
      <c r="A24" s="2" t="inlineStr">
        <is>
          <t>3.2</t>
        </is>
      </c>
      <c r="B24" s="14" t="inlineStr">
        <is>
          <t>Quản lý triển khai – đợt 2</t>
        </is>
      </c>
      <c r="C24" s="2" t="inlineStr">
        <is>
          <t>Production</t>
        </is>
      </c>
      <c r="D24" s="15" t="n">
        <v>46346</v>
      </c>
      <c r="E24" s="15" t="n">
        <v>46356</v>
      </c>
      <c r="F24" s="2" t="n">
        <v>7</v>
      </c>
      <c r="G24" s="13" t="n"/>
      <c r="H24" s="13" t="n"/>
      <c r="I24" s="13" t="n"/>
      <c r="J24" s="13" t="n"/>
      <c r="K24" s="23" t="n"/>
      <c r="L24" s="23" t="n"/>
      <c r="M24" s="23" t="n"/>
      <c r="N24" s="13" t="n"/>
      <c r="O24" s="13" t="n"/>
      <c r="P24" s="13" t="n"/>
      <c r="Q24" s="13" t="n"/>
      <c r="R24" s="13" t="n"/>
    </row>
    <row r="25">
      <c r="A25" s="2" t="inlineStr">
        <is>
          <t>3.3</t>
        </is>
      </c>
      <c r="B25" s="14" t="inlineStr">
        <is>
          <t>Hardening &amp; bảo mật – đợt 1</t>
        </is>
      </c>
      <c r="C25" s="2" t="inlineStr">
        <is>
          <t>Production</t>
        </is>
      </c>
      <c r="D25" s="15" t="n">
        <v>46357</v>
      </c>
      <c r="E25" s="15" t="n">
        <v>46365</v>
      </c>
      <c r="F25" s="2" t="n">
        <v>7</v>
      </c>
      <c r="G25" s="13" t="n"/>
      <c r="H25" s="13" t="n"/>
      <c r="I25" s="13" t="n"/>
      <c r="J25" s="13" t="n"/>
      <c r="K25" s="13" t="n"/>
      <c r="L25" s="13" t="n"/>
      <c r="M25" s="23" t="n"/>
      <c r="N25" s="23" t="n"/>
      <c r="O25" s="13" t="n"/>
      <c r="P25" s="13" t="n"/>
      <c r="Q25" s="13" t="n"/>
      <c r="R25" s="13" t="n"/>
    </row>
    <row r="26">
      <c r="A26" s="2" t="inlineStr">
        <is>
          <t>3.4</t>
        </is>
      </c>
      <c r="B26" s="14" t="inlineStr">
        <is>
          <t>Hardening &amp; bảo mật – đợt 2</t>
        </is>
      </c>
      <c r="C26" s="2" t="inlineStr">
        <is>
          <t>Production</t>
        </is>
      </c>
      <c r="D26" s="15" t="n">
        <v>46357</v>
      </c>
      <c r="E26" s="15" t="n">
        <v>46365</v>
      </c>
      <c r="F26" s="2" t="n">
        <v>7</v>
      </c>
      <c r="G26" s="13" t="n"/>
      <c r="H26" s="13" t="n"/>
      <c r="I26" s="13" t="n"/>
      <c r="J26" s="13" t="n"/>
      <c r="K26" s="13" t="n"/>
      <c r="L26" s="13" t="n"/>
      <c r="M26" s="23" t="n"/>
      <c r="N26" s="23" t="n"/>
      <c r="O26" s="13" t="n"/>
      <c r="P26" s="13" t="n"/>
      <c r="Q26" s="13" t="n"/>
      <c r="R26" s="13" t="n"/>
    </row>
    <row r="27">
      <c r="A27" s="2" t="inlineStr">
        <is>
          <t>3.5</t>
        </is>
      </c>
      <c r="B27" s="14" t="inlineStr">
        <is>
          <t>Mở rộng Vector index – đợt 1</t>
        </is>
      </c>
      <c r="C27" s="2" t="inlineStr">
        <is>
          <t>Production</t>
        </is>
      </c>
      <c r="D27" s="15" t="n">
        <v>46357</v>
      </c>
      <c r="E27" s="15" t="n">
        <v>46365</v>
      </c>
      <c r="F27" s="2" t="n">
        <v>7</v>
      </c>
      <c r="G27" s="13" t="n"/>
      <c r="H27" s="13" t="n"/>
      <c r="I27" s="13" t="n"/>
      <c r="J27" s="13" t="n"/>
      <c r="K27" s="13" t="n"/>
      <c r="L27" s="13" t="n"/>
      <c r="M27" s="23" t="n"/>
      <c r="N27" s="23" t="n"/>
      <c r="O27" s="13" t="n"/>
      <c r="P27" s="13" t="n"/>
      <c r="Q27" s="13" t="n"/>
      <c r="R27" s="13" t="n"/>
    </row>
    <row r="28">
      <c r="A28" s="2" t="inlineStr">
        <is>
          <t>3.6</t>
        </is>
      </c>
      <c r="B28" s="14" t="inlineStr">
        <is>
          <t>Mở rộng Vector index – đợt 2</t>
        </is>
      </c>
      <c r="C28" s="2" t="inlineStr">
        <is>
          <t>Production</t>
        </is>
      </c>
      <c r="D28" s="15" t="n">
        <v>46357</v>
      </c>
      <c r="E28" s="15" t="n">
        <v>46365</v>
      </c>
      <c r="F28" s="2" t="n">
        <v>7</v>
      </c>
      <c r="G28" s="13" t="n"/>
      <c r="H28" s="13" t="n"/>
      <c r="I28" s="13" t="n"/>
      <c r="J28" s="13" t="n"/>
      <c r="K28" s="13" t="n"/>
      <c r="L28" s="13" t="n"/>
      <c r="M28" s="23" t="n"/>
      <c r="N28" s="23" t="n"/>
      <c r="O28" s="13" t="n"/>
      <c r="P28" s="13" t="n"/>
      <c r="Q28" s="13" t="n"/>
      <c r="R28" s="13" t="n"/>
    </row>
    <row r="29">
      <c r="A29" s="2" t="inlineStr">
        <is>
          <t>3.7</t>
        </is>
      </c>
      <c r="B29" s="14" t="inlineStr">
        <is>
          <t>Giám sát &amp; vận hành – đợt 1</t>
        </is>
      </c>
      <c r="C29" s="2" t="inlineStr">
        <is>
          <t>Production</t>
        </is>
      </c>
      <c r="D29" s="15" t="n">
        <v>46357</v>
      </c>
      <c r="E29" s="15" t="n">
        <v>46365</v>
      </c>
      <c r="F29" s="2" t="n">
        <v>7</v>
      </c>
      <c r="G29" s="13" t="n"/>
      <c r="H29" s="13" t="n"/>
      <c r="I29" s="13" t="n"/>
      <c r="J29" s="13" t="n"/>
      <c r="K29" s="13" t="n"/>
      <c r="L29" s="13" t="n"/>
      <c r="M29" s="23" t="n"/>
      <c r="N29" s="23" t="n"/>
      <c r="O29" s="13" t="n"/>
      <c r="P29" s="13" t="n"/>
      <c r="Q29" s="13" t="n"/>
      <c r="R29" s="13" t="n"/>
    </row>
    <row r="30">
      <c r="A30" s="2" t="inlineStr">
        <is>
          <t>3.8</t>
        </is>
      </c>
      <c r="B30" s="14" t="inlineStr">
        <is>
          <t>Giám sát &amp; vận hành – đợt 2</t>
        </is>
      </c>
      <c r="C30" s="2" t="inlineStr">
        <is>
          <t>Production</t>
        </is>
      </c>
      <c r="D30" s="15" t="n">
        <v>46357</v>
      </c>
      <c r="E30" s="15" t="n">
        <v>46365</v>
      </c>
      <c r="F30" s="2" t="n">
        <v>7</v>
      </c>
      <c r="G30" s="13" t="n"/>
      <c r="H30" s="13" t="n"/>
      <c r="I30" s="13" t="n"/>
      <c r="J30" s="13" t="n"/>
      <c r="K30" s="13" t="n"/>
      <c r="L30" s="13" t="n"/>
      <c r="M30" s="23" t="n"/>
      <c r="N30" s="23" t="n"/>
      <c r="O30" s="13" t="n"/>
      <c r="P30" s="13" t="n"/>
      <c r="Q30" s="13" t="n"/>
      <c r="R30" s="13" t="n"/>
    </row>
    <row r="31">
      <c r="A31" s="2" t="inlineStr">
        <is>
          <t>3.9</t>
        </is>
      </c>
      <c r="B31" s="14" t="inlineStr">
        <is>
          <t>UAT và nghiệm thu – đợt 1</t>
        </is>
      </c>
      <c r="C31" s="2" t="inlineStr">
        <is>
          <t>Production</t>
        </is>
      </c>
      <c r="D31" s="15" t="n">
        <v>46366</v>
      </c>
      <c r="E31" s="15" t="n">
        <v>46373</v>
      </c>
      <c r="F31" s="2" t="n">
        <v>6</v>
      </c>
      <c r="G31" s="13" t="n"/>
      <c r="H31" s="13" t="n"/>
      <c r="I31" s="13" t="n"/>
      <c r="J31" s="13" t="n"/>
      <c r="K31" s="13" t="n"/>
      <c r="L31" s="13" t="n"/>
      <c r="M31" s="13" t="n"/>
      <c r="N31" s="23" t="n"/>
      <c r="O31" s="23" t="n"/>
      <c r="P31" s="13" t="n"/>
      <c r="Q31" s="13" t="n"/>
      <c r="R31" s="13" t="n"/>
    </row>
    <row r="32">
      <c r="A32" s="2" t="inlineStr">
        <is>
          <t>3.10</t>
        </is>
      </c>
      <c r="B32" s="14" t="inlineStr">
        <is>
          <t>UAT và nghiệm thu – đợt 2</t>
        </is>
      </c>
      <c r="C32" s="2" t="inlineStr">
        <is>
          <t>Production</t>
        </is>
      </c>
      <c r="D32" s="15" t="n">
        <v>46366</v>
      </c>
      <c r="E32" s="15" t="n">
        <v>46373</v>
      </c>
      <c r="F32" s="2" t="n">
        <v>6</v>
      </c>
      <c r="G32" s="13" t="n"/>
      <c r="H32" s="13" t="n"/>
      <c r="I32" s="13" t="n"/>
      <c r="J32" s="13" t="n"/>
      <c r="K32" s="13" t="n"/>
      <c r="L32" s="13" t="n"/>
      <c r="M32" s="13" t="n"/>
      <c r="N32" s="23" t="n"/>
      <c r="O32" s="23" t="n"/>
      <c r="P32" s="13" t="n"/>
      <c r="Q32" s="13" t="n"/>
      <c r="R32" s="13" t="n"/>
    </row>
    <row r="33">
      <c r="A33" s="2" t="inlineStr">
        <is>
          <t>3.11</t>
        </is>
      </c>
      <c r="B33" s="14" t="inlineStr">
        <is>
          <t>Đào tạo &amp; bàn giao – đợt 1</t>
        </is>
      </c>
      <c r="C33" s="2" t="inlineStr">
        <is>
          <t>Production</t>
        </is>
      </c>
      <c r="D33" s="15" t="n">
        <v>46346</v>
      </c>
      <c r="E33" s="15" t="n">
        <v>46353</v>
      </c>
      <c r="F33" s="2" t="n">
        <v>6</v>
      </c>
      <c r="G33" s="13" t="n"/>
      <c r="H33" s="13" t="n"/>
      <c r="I33" s="13" t="n"/>
      <c r="J33" s="13" t="n"/>
      <c r="K33" s="23" t="n"/>
      <c r="L33" s="23" t="n"/>
      <c r="M33" s="13" t="n"/>
      <c r="N33" s="13" t="n"/>
      <c r="O33" s="13" t="n"/>
      <c r="P33" s="13" t="n"/>
      <c r="Q33" s="13" t="n"/>
      <c r="R33" s="13" t="n"/>
    </row>
    <row r="34">
      <c r="A34" s="2" t="inlineStr">
        <is>
          <t>3.12</t>
        </is>
      </c>
      <c r="B34" s="14" t="inlineStr">
        <is>
          <t>Đào tạo &amp; bàn giao – đợt 2</t>
        </is>
      </c>
      <c r="C34" s="2" t="inlineStr">
        <is>
          <t>Production</t>
        </is>
      </c>
      <c r="D34" s="15" t="n">
        <v>46346</v>
      </c>
      <c r="E34" s="15" t="n">
        <v>46353</v>
      </c>
      <c r="F34" s="2" t="n">
        <v>6</v>
      </c>
      <c r="G34" s="13" t="n"/>
      <c r="H34" s="13" t="n"/>
      <c r="I34" s="13" t="n"/>
      <c r="J34" s="13" t="n"/>
      <c r="K34" s="23" t="n"/>
      <c r="L34" s="23" t="n"/>
      <c r="M34" s="13" t="n"/>
      <c r="N34" s="13" t="n"/>
      <c r="O34" s="13" t="n"/>
      <c r="P34" s="13" t="n"/>
      <c r="Q34" s="13" t="n"/>
      <c r="R34" s="13" t="n"/>
    </row>
    <row r="35">
      <c r="A35" s="17" t="inlineStr">
        <is>
          <t>M4</t>
        </is>
      </c>
      <c r="B35" s="17" t="inlineStr">
        <is>
          <t>Go-live (30%)</t>
        </is>
      </c>
      <c r="C35" s="17" t="inlineStr">
        <is>
          <t>Production</t>
        </is>
      </c>
      <c r="D35" s="18" t="n">
        <v>46392</v>
      </c>
      <c r="E35" s="18" t="n">
        <v>46392</v>
      </c>
      <c r="F35" s="17" t="n">
        <v>0</v>
      </c>
      <c r="G35" s="13" t="n"/>
      <c r="H35" s="13" t="n"/>
      <c r="I35" s="13" t="n"/>
      <c r="J35" s="13" t="n"/>
      <c r="K35" s="13" t="n"/>
      <c r="L35" s="13" t="n"/>
      <c r="M35" s="13" t="n"/>
      <c r="N35" s="13" t="n"/>
      <c r="O35" s="13" t="n"/>
      <c r="P35" s="13" t="n"/>
      <c r="Q35" s="13" t="n"/>
      <c r="R35" s="19" t="inlineStr">
        <is>
          <t>◆</t>
        </is>
      </c>
    </row>
  </sheetData>
  <autoFilter ref="A1:F3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2026-10-05T16:16:17Z</dcterms:created>
  <dcterms:modified xmlns:dcterms="http://purl.org/dc/terms/" xmlns:xsi="http://www.w3.org/2001/XMLSchema-instance" xsi:type="dcterms:W3CDTF">2026-10-05T16:16:17Z</dcterms:modified>
</cp:coreProperties>
</file>